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Delus\Desktop\"/>
    </mc:Choice>
  </mc:AlternateContent>
  <xr:revisionPtr revIDLastSave="0" documentId="8_{42505DE9-D996-47C4-81E9-A24A4E3CE9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📋 INSTRUCCIONES" sheetId="1" r:id="rId1"/>
    <sheet name="📅 ODÓMETRO DIARIO" sheetId="2" r:id="rId2"/>
    <sheet name="VEHICULOS_CONFIG" sheetId="3" r:id="rId3"/>
    <sheet name="⛽ COMB. REGISTRO" sheetId="4" r:id="rId4"/>
    <sheet name="KM_2026_01" sheetId="5" r:id="rId5"/>
    <sheet name="KM_2026_02" sheetId="6" r:id="rId6"/>
    <sheet name="KM_2026_03" sheetId="7" r:id="rId7"/>
    <sheet name="KM_2026_04" sheetId="8" r:id="rId8"/>
    <sheet name="KM_2026_05" sheetId="9" r:id="rId9"/>
    <sheet name="KM_2026_06" sheetId="10" r:id="rId10"/>
    <sheet name="KM_2026_07" sheetId="11" r:id="rId11"/>
    <sheet name="KM_2026_08" sheetId="12" r:id="rId12"/>
    <sheet name="KM_2026_09" sheetId="13" r:id="rId13"/>
    <sheet name="KM_2026_10" sheetId="14" r:id="rId14"/>
    <sheet name="KM_2026_11" sheetId="15" r:id="rId15"/>
    <sheet name="KM_2026_12" sheetId="16" r:id="rId16"/>
    <sheet name="COMB_2026_01" sheetId="17" r:id="rId17"/>
    <sheet name="COMB_2026_02" sheetId="18" r:id="rId18"/>
    <sheet name="COMB_2026_03" sheetId="19" r:id="rId19"/>
    <sheet name="COMB_2026_04" sheetId="20" r:id="rId20"/>
    <sheet name="COMB_2026_05" sheetId="21" r:id="rId21"/>
    <sheet name="COMB_2026_06" sheetId="22" r:id="rId22"/>
    <sheet name="COMB_2026_07" sheetId="23" r:id="rId23"/>
    <sheet name="COMB_2026_08" sheetId="24" r:id="rId24"/>
    <sheet name="COMB_2026_09" sheetId="25" r:id="rId25"/>
    <sheet name="COMB_2026_10" sheetId="26" r:id="rId26"/>
    <sheet name="COMB_2026_11" sheetId="27" r:id="rId27"/>
    <sheet name="COMB_2026_12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8" l="1"/>
  <c r="F8" i="28" s="1"/>
  <c r="F9" i="28" s="1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7" i="27"/>
  <c r="F8" i="27" s="1"/>
  <c r="F9" i="27" s="1"/>
  <c r="F10" i="27" s="1"/>
  <c r="F11" i="27" s="1"/>
  <c r="F12" i="27" s="1"/>
  <c r="F13" i="27" s="1"/>
  <c r="F14" i="27" s="1"/>
  <c r="F15" i="27" s="1"/>
  <c r="F16" i="27" s="1"/>
  <c r="F17" i="27" s="1"/>
  <c r="F18" i="27" s="1"/>
  <c r="F19" i="27" s="1"/>
  <c r="F20" i="27" s="1"/>
  <c r="F21" i="27" s="1"/>
  <c r="F7" i="26"/>
  <c r="F8" i="26" s="1"/>
  <c r="F9" i="26" s="1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7" i="25"/>
  <c r="F8" i="25" s="1"/>
  <c r="F9" i="25" s="1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7" i="24"/>
  <c r="F8" i="24" s="1"/>
  <c r="F9" i="24" s="1"/>
  <c r="F10" i="24" s="1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7" i="23"/>
  <c r="F8" i="23" s="1"/>
  <c r="F9" i="23" s="1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7" i="22"/>
  <c r="F8" i="22" s="1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7" i="21"/>
  <c r="F8" i="21" s="1"/>
  <c r="F9" i="21" s="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7" i="20"/>
  <c r="F8" i="20" s="1"/>
  <c r="F9" i="20" s="1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13" i="19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7" i="18"/>
  <c r="F8" i="18" s="1"/>
  <c r="F9" i="18" s="1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7" i="17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E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E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E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E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E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E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E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E17" i="9"/>
  <c r="F16" i="9"/>
  <c r="F15" i="9"/>
  <c r="F14" i="9"/>
  <c r="F13" i="9"/>
  <c r="F12" i="9"/>
  <c r="F11" i="9"/>
  <c r="F10" i="9"/>
  <c r="F9" i="9"/>
  <c r="F8" i="9"/>
  <c r="F7" i="9"/>
  <c r="F6" i="9"/>
  <c r="F5" i="9"/>
  <c r="E17" i="8"/>
  <c r="F16" i="8"/>
  <c r="F15" i="8"/>
  <c r="F14" i="8"/>
  <c r="F13" i="8"/>
  <c r="F12" i="8"/>
  <c r="F11" i="8"/>
  <c r="F10" i="8"/>
  <c r="F9" i="8"/>
  <c r="F8" i="8"/>
  <c r="F7" i="8"/>
  <c r="F6" i="8"/>
  <c r="F5" i="8"/>
  <c r="E17" i="7"/>
  <c r="F16" i="7"/>
  <c r="F15" i="7"/>
  <c r="F14" i="7"/>
  <c r="F13" i="7"/>
  <c r="F12" i="7"/>
  <c r="F11" i="7"/>
  <c r="F10" i="7"/>
  <c r="F9" i="7"/>
  <c r="F8" i="7"/>
  <c r="F7" i="7"/>
  <c r="F6" i="7"/>
  <c r="F5" i="7"/>
  <c r="E17" i="6"/>
  <c r="F16" i="6"/>
  <c r="F15" i="6"/>
  <c r="F14" i="6"/>
  <c r="F13" i="6"/>
  <c r="F12" i="6"/>
  <c r="F11" i="6"/>
  <c r="F10" i="6"/>
  <c r="F9" i="6"/>
  <c r="F8" i="6"/>
  <c r="F7" i="6"/>
  <c r="F6" i="6"/>
  <c r="F5" i="6"/>
  <c r="E17" i="5"/>
  <c r="F16" i="5"/>
  <c r="F15" i="5"/>
  <c r="F14" i="5"/>
  <c r="F13" i="5"/>
  <c r="F12" i="5"/>
  <c r="F11" i="5"/>
  <c r="F10" i="5"/>
  <c r="F9" i="5"/>
  <c r="F8" i="5"/>
  <c r="F7" i="5"/>
  <c r="F6" i="5"/>
  <c r="F5" i="5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I4" i="4"/>
  <c r="J4" i="4" s="1"/>
  <c r="D52" i="2"/>
  <c r="C52" i="2" a="1"/>
  <c r="C52" i="2" s="1"/>
  <c r="E52" i="2" s="1"/>
  <c r="D51" i="2"/>
  <c r="C51" i="2" a="1"/>
  <c r="C51" i="2" s="1"/>
  <c r="D50" i="2"/>
  <c r="C50" i="2" a="1"/>
  <c r="C50" i="2" s="1"/>
  <c r="D49" i="2"/>
  <c r="E49" i="2" s="1"/>
  <c r="C49" i="2" a="1"/>
  <c r="C49" i="2" s="1"/>
  <c r="D48" i="2"/>
  <c r="E48" i="2" s="1"/>
  <c r="C48" i="2" a="1"/>
  <c r="C48" i="2" s="1"/>
  <c r="D47" i="2"/>
  <c r="C47" i="2" a="1"/>
  <c r="C47" i="2" s="1"/>
  <c r="D46" i="2"/>
  <c r="C46" i="2" a="1"/>
  <c r="C46" i="2" s="1"/>
  <c r="D45" i="2"/>
  <c r="E45" i="2" s="1"/>
  <c r="C45" i="2" a="1"/>
  <c r="C45" i="2"/>
  <c r="D44" i="2"/>
  <c r="C44" i="2" a="1"/>
  <c r="C44" i="2" s="1"/>
  <c r="D43" i="2"/>
  <c r="C43" i="2" a="1"/>
  <c r="C43" i="2" s="1"/>
  <c r="D42" i="2"/>
  <c r="E42" i="2" s="1"/>
  <c r="C42" i="2" a="1"/>
  <c r="C42" i="2" s="1"/>
  <c r="D41" i="2"/>
  <c r="C41" i="2" a="1"/>
  <c r="C41" i="2" s="1"/>
  <c r="H52" i="2" l="1"/>
  <c r="G52" i="2"/>
  <c r="I52" i="2"/>
  <c r="G49" i="2"/>
  <c r="H49" i="2"/>
  <c r="I49" i="2"/>
  <c r="G48" i="2"/>
  <c r="H48" i="2"/>
  <c r="I48" i="2"/>
  <c r="G45" i="2"/>
  <c r="H45" i="2"/>
  <c r="I45" i="2"/>
  <c r="G42" i="2"/>
  <c r="H42" i="2"/>
  <c r="I42" i="2"/>
  <c r="E50" i="2"/>
  <c r="E51" i="2"/>
  <c r="E47" i="2"/>
  <c r="E46" i="2"/>
  <c r="E44" i="2"/>
  <c r="E43" i="2"/>
  <c r="E41" i="2"/>
  <c r="H50" i="2" l="1"/>
  <c r="I50" i="2"/>
  <c r="G50" i="2"/>
  <c r="G51" i="2"/>
  <c r="I51" i="2"/>
  <c r="H51" i="2"/>
  <c r="I47" i="2"/>
  <c r="H47" i="2"/>
  <c r="G47" i="2"/>
  <c r="I46" i="2"/>
  <c r="H46" i="2"/>
  <c r="G46" i="2"/>
  <c r="I44" i="2"/>
  <c r="G44" i="2"/>
  <c r="H44" i="2"/>
  <c r="H43" i="2"/>
  <c r="G43" i="2"/>
  <c r="I43" i="2"/>
  <c r="I41" i="2"/>
  <c r="H41" i="2"/>
  <c r="G41" i="2"/>
</calcChain>
</file>

<file path=xl/sharedStrings.xml><?xml version="1.0" encoding="utf-8"?>
<sst xmlns="http://schemas.openxmlformats.org/spreadsheetml/2006/main" count="976" uniqueCount="185">
  <si>
    <t>AEROSAN — GUÍA DE USO  2026</t>
  </si>
  <si>
    <t>🏗️  GRÚAS LEASING</t>
  </si>
  <si>
    <t>Hojas activas:</t>
  </si>
  <si>
    <t>Las hojas con tab AZUL son el mes en curso. Edita KM_MES aquí.</t>
  </si>
  <si>
    <t>Hojas cerradas:</t>
  </si>
  <si>
    <t>Las hojas con tab GRIS son historial. NO modificar.</t>
  </si>
  <si>
    <t>Fin de mes:</t>
  </si>
  <si>
    <t>La hoja del mes siguiente ya está creada y lista para usar.</t>
  </si>
  <si>
    <t>Formato nombres:</t>
  </si>
  <si>
    <t>KM_2026_01  /  KM_2026_02  ...  KM_2026_12</t>
  </si>
  <si>
    <t>🔴  COMBUSTIBLE</t>
  </si>
  <si>
    <t>Tab NARANJA = mes en curso. Agrega cada movimiento aquí.</t>
  </si>
  <si>
    <t>Stock inicial:</t>
  </si>
  <si>
    <t>Cada hoja tiene su stock inicial. Actualízalo al inicio del mes.</t>
  </si>
  <si>
    <t>COMB_2026_01  /  COMB_2026_02  ...  COMB_2026_12</t>
  </si>
  <si>
    <t>📊  DASHBOARD (GitHub Pages)</t>
  </si>
  <si>
    <t>Lectura automática:</t>
  </si>
  <si>
    <t>El script lee todas las hojas KM_YYYY_MM y COMB_YYYY_MM.</t>
  </si>
  <si>
    <t>Filtro año/mes:</t>
  </si>
  <si>
    <t>El dashboard tiene selector de año y mes para ver históricos.</t>
  </si>
  <si>
    <t>⚠️  IMPORTANTE</t>
  </si>
  <si>
    <t>No renombrar:</t>
  </si>
  <si>
    <t>Respetar formato exacto de nombres de hojas.</t>
  </si>
  <si>
    <t>Meses futuros:</t>
  </si>
  <si>
    <t>Las hojas abr–dic están vacías. Solo llena el mes en curso.</t>
  </si>
  <si>
    <t>AEROSAN — CONTROL DE GRÚAS EN LEASING</t>
  </si>
  <si>
    <t>Ingrese la lectura del odómetro diariamente. El sistema calcula KM recorridos automáticamente. LÍMITE: 160 KM/mes por grúa.</t>
  </si>
  <si>
    <t>FECHA</t>
  </si>
  <si>
    <t>GRÚA 1
Patente: AB-1234</t>
  </si>
  <si>
    <t>GRÚA 2
Patente: CD-5678</t>
  </si>
  <si>
    <t>GRÚA 3
Patente: EF-9012</t>
  </si>
  <si>
    <t>GRÚA 4
Patente: GH-3456</t>
  </si>
  <si>
    <t>GRÚA 5
Patente: IJ-7890</t>
  </si>
  <si>
    <t>GRÚA 6
Patente: KL-1234</t>
  </si>
  <si>
    <t>GRÚA 7
Patente: MN-5678</t>
  </si>
  <si>
    <t>GRÚA 8
Patente: OP-9012</t>
  </si>
  <si>
    <t>GRÚA 9
Patente: QR-3456</t>
  </si>
  <si>
    <t>GRÚA 10
Patente: ST-7890</t>
  </si>
  <si>
    <t>GRÚA 11
Patente: UV-1234</t>
  </si>
  <si>
    <t>GRÚA 12
Patente: WX-5678</t>
  </si>
  <si>
    <t>SUPERVISOR</t>
  </si>
  <si>
    <t>TURNO</t>
  </si>
  <si>
    <t>OBSERVACIONES</t>
  </si>
  <si>
    <t>▼ INGRESE LA LECTURA DEL ODÓMETRO (KM totales que marca la grúa ese día)</t>
  </si>
  <si>
    <t>RESUMEN MENSUAL — KM RECORRIDOS POR GRÚA</t>
  </si>
  <si>
    <t>GRÚA</t>
  </si>
  <si>
    <t>PATENTE</t>
  </si>
  <si>
    <t>KM INICIO MES</t>
  </si>
  <si>
    <t>KM ÚLTIMO REGISTRO</t>
  </si>
  <si>
    <t>KM RECORRIDOS</t>
  </si>
  <si>
    <t>LÍMITE (KM)</t>
  </si>
  <si>
    <t>KM DISPONIBLES</t>
  </si>
  <si>
    <t>% USADO</t>
  </si>
  <si>
    <t>ESTADO</t>
  </si>
  <si>
    <t>GRÚA 1</t>
  </si>
  <si>
    <t>XXX-XXX</t>
  </si>
  <si>
    <t>GRÚA 2</t>
  </si>
  <si>
    <t>GRÚA 3</t>
  </si>
  <si>
    <t>GRÚA 4</t>
  </si>
  <si>
    <t>GRÚA 5</t>
  </si>
  <si>
    <t>GRÚA 6</t>
  </si>
  <si>
    <t>GRÚA 7</t>
  </si>
  <si>
    <t>GRÚA 8</t>
  </si>
  <si>
    <t>GRÚA 9</t>
  </si>
  <si>
    <t>GRÚA 10</t>
  </si>
  <si>
    <t>GRÚA 11</t>
  </si>
  <si>
    <t>GRÚA 12</t>
  </si>
  <si>
    <t>AEROSAN — CONFIGURACIÓN DE VEHÍCULOS Y GRÚAS</t>
  </si>
  <si>
    <t>Define aquí los vehículos y grúas activos. No borrar.</t>
  </si>
  <si>
    <t>🏗️  GRÚAS EN LEASING — Límite 160 KM/mes</t>
  </si>
  <si>
    <t>N°</t>
  </si>
  <si>
    <t>NOMBRE / ID GRÚA</t>
  </si>
  <si>
    <t>EMPRESA LEASING</t>
  </si>
  <si>
    <t>LÍMITE KM/MES</t>
  </si>
  <si>
    <t>ACTIVA</t>
  </si>
  <si>
    <t>AB-1234</t>
  </si>
  <si>
    <t>LeasePlan Chile</t>
  </si>
  <si>
    <t>Sí</t>
  </si>
  <si>
    <t>CD-5678</t>
  </si>
  <si>
    <t>EF-9012</t>
  </si>
  <si>
    <t>ALD Automotive</t>
  </si>
  <si>
    <t>GH-3456</t>
  </si>
  <si>
    <t>IJ-7890</t>
  </si>
  <si>
    <t>KL-1234</t>
  </si>
  <si>
    <t>MN-5678</t>
  </si>
  <si>
    <t>OP-9012</t>
  </si>
  <si>
    <t>QR-3456</t>
  </si>
  <si>
    <t>ST-7890</t>
  </si>
  <si>
    <t>UV-1234</t>
  </si>
  <si>
    <t>WX-5678</t>
  </si>
  <si>
    <t>🚛  VEHÍCULOS / TRACTORES</t>
  </si>
  <si>
    <t>NOMBRE</t>
  </si>
  <si>
    <t>TIPO</t>
  </si>
  <si>
    <t>TIPO COMBUSTIBLE</t>
  </si>
  <si>
    <t>ACTIVO</t>
  </si>
  <si>
    <t>Tractor 1</t>
  </si>
  <si>
    <t>Tractor</t>
  </si>
  <si>
    <t>Diesel</t>
  </si>
  <si>
    <t>Tractor 2</t>
  </si>
  <si>
    <t>Tractor 3</t>
  </si>
  <si>
    <t>Camioneta A</t>
  </si>
  <si>
    <t>Camioneta</t>
  </si>
  <si>
    <t>Camioneta B</t>
  </si>
  <si>
    <t>Camioneta C</t>
  </si>
  <si>
    <t>AEROSAN — CONTROL DE COMBUSTIBLE</t>
  </si>
  <si>
    <t>Registre cada carga de combustible. El stock se actualiza automáticamente con cada ingreso.</t>
  </si>
  <si>
    <t>STOCK INICIAL (Litros):</t>
  </si>
  <si>
    <t>STOCK MÍNIMO ALERTA (L):</t>
  </si>
  <si>
    <t>STOCK ACTUAL:</t>
  </si>
  <si>
    <t>VEHÍCULO / TRACTOR</t>
  </si>
  <si>
    <t>CONDUCTOR</t>
  </si>
  <si>
    <t>CARGA (+L)</t>
  </si>
  <si>
    <t>CONSUMO (-L)</t>
  </si>
  <si>
    <t>STOCK ACUMULADO</t>
  </si>
  <si>
    <t>ODÓMETRO (KM)</t>
  </si>
  <si>
    <t>AEROSAN — KM RECORRIDOS  |  ENERO 2026  (LÍMITE 160 KM/GRÚA)</t>
  </si>
  <si>
    <t>🔒  Historial cerrado — Enero 2026. No modificar.</t>
  </si>
  <si>
    <t>KM_MES</t>
  </si>
  <si>
    <t>TOTAL KM MES</t>
  </si>
  <si>
    <t>AEROSAN — KM RECORRIDOS  |  FEBRERO 2026  (LÍMITE 160 KM/GRÚA)</t>
  </si>
  <si>
    <t>🔒  Historial cerrado — Febrero 2026. No modificar.</t>
  </si>
  <si>
    <t>AEROSAN — KM RECORRIDOS  |  MARZO 2026  (LÍMITE 160 KM/GRÚA)</t>
  </si>
  <si>
    <t>✏️  Mes en curso — Actualiza la columna KM_MES con los km de cada grúa.</t>
  </si>
  <si>
    <t>AEROSAN — KM RECORRIDOS  |  ABRIL 2026  (LÍMITE 160 KM/GRÚA)</t>
  </si>
  <si>
    <t>📅  Abril 2026 — Mes futuro. No ingresar datos aún.</t>
  </si>
  <si>
    <t>AEROSAN — KM RECORRIDOS  |  MAYO 2026  (LÍMITE 160 KM/GRÚA)</t>
  </si>
  <si>
    <t>📅  Mayo 2026 — Mes futuro. No ingresar datos aún.</t>
  </si>
  <si>
    <t>AEROSAN — KM RECORRIDOS  |  JUNIO 2026  (LÍMITE 160 KM/GRÚA)</t>
  </si>
  <si>
    <t>📅  Junio 2026 — Mes futuro. No ingresar datos aún.</t>
  </si>
  <si>
    <t>AEROSAN — KM RECORRIDOS  |  JULIO 2026  (LÍMITE 160 KM/GRÚA)</t>
  </si>
  <si>
    <t>📅  Julio 2026 — Mes futuro. No ingresar datos aún.</t>
  </si>
  <si>
    <t>AEROSAN — KM RECORRIDOS  |  AGOSTO 2026  (LÍMITE 160 KM/GRÚA)</t>
  </si>
  <si>
    <t>📅  Agosto 2026 — Mes futuro. No ingresar datos aún.</t>
  </si>
  <si>
    <t>AEROSAN — KM RECORRIDOS  |  SEPTIEMBRE 2026  (LÍMITE 160 KM/GRÚA)</t>
  </si>
  <si>
    <t>📅  Septiembre 2026 — Mes futuro. No ingresar datos aún.</t>
  </si>
  <si>
    <t>AEROSAN — KM RECORRIDOS  |  OCTUBRE 2026  (LÍMITE 160 KM/GRÚA)</t>
  </si>
  <si>
    <t>📅  Octubre 2026 — Mes futuro. No ingresar datos aún.</t>
  </si>
  <si>
    <t>AEROSAN — KM RECORRIDOS  |  NOVIEMBRE 2026  (LÍMITE 160 KM/GRÚA)</t>
  </si>
  <si>
    <t>📅  Noviembre 2026 — Mes futuro. No ingresar datos aún.</t>
  </si>
  <si>
    <t>AEROSAN — KM RECORRIDOS  |  DICIEMBRE 2026  (LÍMITE 160 KM/GRÚA)</t>
  </si>
  <si>
    <t>📅  Diciembre 2026 — Mes futuro. No ingresar datos aún.</t>
  </si>
  <si>
    <t>AEROSAN — COMBUSTIBLE  |  ENERO 2026</t>
  </si>
  <si>
    <t>VEHÍCULO</t>
  </si>
  <si>
    <t>STOCK ACUM.</t>
  </si>
  <si>
    <t>TIPO COMB.</t>
  </si>
  <si>
    <t>2026-01-03</t>
  </si>
  <si>
    <t>Rodrigo Vega</t>
  </si>
  <si>
    <t>Supervisor</t>
  </si>
  <si>
    <t>2026-01-06</t>
  </si>
  <si>
    <t>Pedro Soto</t>
  </si>
  <si>
    <t>2026-01-09</t>
  </si>
  <si>
    <t>Juan Mora</t>
  </si>
  <si>
    <t>2026-01-12</t>
  </si>
  <si>
    <t>Luis Díaz</t>
  </si>
  <si>
    <t>2026-01-15</t>
  </si>
  <si>
    <t>Carlos Ruiz</t>
  </si>
  <si>
    <t>2026-01-18</t>
  </si>
  <si>
    <t>Mario Leiva</t>
  </si>
  <si>
    <t>AEROSAN — COMBUSTIBLE  |  FEBRERO 2026</t>
  </si>
  <si>
    <t>2026-02-03</t>
  </si>
  <si>
    <t>2026-02-06</t>
  </si>
  <si>
    <t>2026-02-09</t>
  </si>
  <si>
    <t>2026-02-12</t>
  </si>
  <si>
    <t>2026-02-15</t>
  </si>
  <si>
    <t>2026-02-18</t>
  </si>
  <si>
    <t>AEROSAN — COMBUSTIBLE  |  MARZO 2026</t>
  </si>
  <si>
    <t>✏️  Mes en curso — Registra cada movimiento. Stock se calcula automático.</t>
  </si>
  <si>
    <t>AEROSAN — COMBUSTIBLE  |  ABRIL 2026</t>
  </si>
  <si>
    <t>📅  Abril 2026 — Mes futuro. Actualiza stock inicial antes de usar.</t>
  </si>
  <si>
    <t>AEROSAN — COMBUSTIBLE  |  MAYO 2026</t>
  </si>
  <si>
    <t>📅  Mayo 2026 — Mes futuro. Actualiza stock inicial antes de usar.</t>
  </si>
  <si>
    <t>AEROSAN — COMBUSTIBLE  |  JUNIO 2026</t>
  </si>
  <si>
    <t>📅  Junio 2026 — Mes futuro. Actualiza stock inicial antes de usar.</t>
  </si>
  <si>
    <t>AEROSAN — COMBUSTIBLE  |  JULIO 2026</t>
  </si>
  <si>
    <t>📅  Julio 2026 — Mes futuro. Actualiza stock inicial antes de usar.</t>
  </si>
  <si>
    <t>AEROSAN — COMBUSTIBLE  |  AGOSTO 2026</t>
  </si>
  <si>
    <t>📅  Agosto 2026 — Mes futuro. Actualiza stock inicial antes de usar.</t>
  </si>
  <si>
    <t>AEROSAN — COMBUSTIBLE  |  SEPTIEMBRE 2026</t>
  </si>
  <si>
    <t>📅  Septiembre 2026 — Mes futuro. Actualiza stock inicial antes de usar.</t>
  </si>
  <si>
    <t>AEROSAN — COMBUSTIBLE  |  OCTUBRE 2026</t>
  </si>
  <si>
    <t>📅  Octubre 2026 — Mes futuro. Actualiza stock inicial antes de usar.</t>
  </si>
  <si>
    <t>AEROSAN — COMBUSTIBLE  |  NOVIEMBRE 2026</t>
  </si>
  <si>
    <t>📅  Noviembre 2026 — Mes futuro. Actualiza stock inicial antes de usar.</t>
  </si>
  <si>
    <t>AEROSAN — COMBUSTIBLE  |  DICIEMBRE 2026</t>
  </si>
  <si>
    <t>📅  Diciembre 2026 — Mes futuro. Actualiza stock inicial antes de usar.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</si>
</sst>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1" x14ac:knownFonts="1">
    <font>
      <sz val="11"/>
      <color theme="1"/>
      <name val="Calibri"/>
      <family val="2"/>
      <scheme val="minor"/>
    </font>
    <font>
      <sz val="11"/>
      <color rgb="FF1A2540"/>
      <name val="Arial"/>
      <family val="2"/>
    </font>
    <font>
      <b/>
      <sz val="11"/>
      <color rgb="FF1A2540"/>
      <name val="Arial"/>
      <family val="2"/>
    </font>
    <font>
      <b/>
      <sz val="13"/>
      <color rgb="FFFFFFFF"/>
      <name val="Arial"/>
      <family val="2"/>
    </font>
    <font>
      <i/>
      <sz val="10"/>
      <color rgb="FF5A6F8A"/>
      <name val="Arial"/>
      <family val="2"/>
    </font>
    <font>
      <b/>
      <sz val="11"/>
      <color rgb="FFFFFFFF"/>
      <name val="Arial"/>
      <family val="2"/>
    </font>
    <font>
      <b/>
      <sz val="11"/>
      <color rgb="FFE07B00"/>
      <name val="Arial"/>
      <family val="2"/>
    </font>
    <font>
      <b/>
      <sz val="12"/>
      <color rgb="FF1A2540"/>
      <name val="Arial"/>
      <family val="2"/>
    </font>
    <font>
      <b/>
      <sz val="13"/>
      <color rgb="FF00B8D9"/>
      <name val="Arial"/>
      <family val="2"/>
    </font>
    <font>
      <b/>
      <sz val="13"/>
      <color rgb="FF5A6F8A"/>
      <name val="Arial"/>
      <family val="2"/>
    </font>
    <font>
      <b/>
      <sz val="11"/>
      <color rgb="FF5A6F8A"/>
      <name val="Arial"/>
      <family val="2"/>
    </font>
    <font>
      <b/>
      <sz val="13"/>
      <color rgb="FFE07B00"/>
      <name val="Arial"/>
      <family val="2"/>
    </font>
    <font>
      <b/>
      <sz val="13"/>
      <color rgb="FFD32F2F"/>
      <name val="Arial"/>
      <family val="2"/>
    </font>
    <font>
      <b/>
      <sz val="11"/>
      <color rgb="FFD32F2F"/>
      <name val="Arial"/>
      <family val="2"/>
    </font>
    <font>
      <b/>
      <sz val="11"/>
      <color rgb="FF00A651"/>
      <name val="Arial"/>
      <family val="2"/>
    </font>
    <font>
      <b/>
      <sz val="8"/>
      <color rgb="FFE2EAF4"/>
      <name val="Arial"/>
      <family val="2"/>
    </font>
    <font>
      <sz val="8"/>
      <color theme="1"/>
      <name val="Calibri"/>
      <family val="2"/>
      <scheme val="minor"/>
    </font>
    <font>
      <i/>
      <sz val="8"/>
      <color rgb="FF6B89A8"/>
      <name val="Arial"/>
      <family val="2"/>
    </font>
    <font>
      <b/>
      <sz val="8"/>
      <color rgb="FFF0A500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sz val="8"/>
      <color theme="1"/>
      <name val="Calibri"/>
      <family val="2"/>
    </font>
    <font>
      <b/>
      <sz val="8"/>
      <color theme="1"/>
      <name val="Arial"/>
      <family val="2"/>
    </font>
    <font>
      <b/>
      <sz val="9"/>
      <color rgb="FFE2EAF4"/>
      <name val="Arial"/>
      <family val="2"/>
    </font>
    <font>
      <sz val="9"/>
      <color theme="1"/>
      <name val="Calibri"/>
      <family val="2"/>
      <scheme val="minor"/>
    </font>
    <font>
      <i/>
      <sz val="9"/>
      <color rgb="FF6B89A8"/>
      <name val="Arial"/>
      <family val="2"/>
    </font>
    <font>
      <b/>
      <sz val="9"/>
      <color rgb="FFF0A500"/>
      <name val="Arial"/>
      <family val="2"/>
    </font>
    <font>
      <b/>
      <sz val="9"/>
      <color rgb="FF0000FF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5A6F8A"/>
      <name val="Arial"/>
      <family val="2"/>
    </font>
    <font>
      <b/>
      <sz val="9"/>
      <color rgb="FFFFFFFF"/>
      <name val="Arial"/>
      <family val="2"/>
    </font>
    <font>
      <sz val="9"/>
      <color rgb="FF1A2540"/>
      <name val="Arial"/>
      <family val="2"/>
    </font>
    <font>
      <b/>
      <sz val="9"/>
      <color rgb="FF0078B8"/>
      <name val="Arial"/>
      <family val="2"/>
    </font>
    <font>
      <b/>
      <sz val="9"/>
      <color rgb="FF1A2540"/>
      <name val="Arial"/>
      <family val="2"/>
    </font>
    <font>
      <i/>
      <sz val="9"/>
      <color rgb="FF5A6F8A"/>
      <name val="Arial"/>
      <family val="2"/>
    </font>
    <font>
      <b/>
      <sz val="9"/>
      <color rgb="FF00B8D9"/>
      <name val="Arial"/>
      <family val="2"/>
    </font>
    <font>
      <b/>
      <sz val="9"/>
      <color rgb="FF5A6F8A"/>
      <name val="Arial"/>
      <family val="2"/>
    </font>
    <font>
      <b/>
      <sz val="8"/>
      <color rgb="FF0078B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B1929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0078B8"/>
      </patternFill>
    </fill>
    <fill>
      <patternFill patternType="solid">
        <fgColor rgb="FFE07B00"/>
      </patternFill>
    </fill>
    <fill>
      <patternFill patternType="solid">
        <fgColor rgb="FFFFF3E0"/>
      </patternFill>
    </fill>
    <fill>
      <patternFill patternType="solid">
        <fgColor rgb="FF5A6F8A"/>
      </patternFill>
    </fill>
    <fill>
      <patternFill patternType="solid">
        <fgColor rgb="FFE8F8F0"/>
      </patternFill>
    </fill>
    <fill>
      <patternFill patternType="solid">
        <fgColor rgb="FFDDE3EC"/>
      </patternFill>
    </fill>
    <fill>
      <patternFill patternType="solid">
        <fgColor rgb="FFF5F7FA"/>
      </patternFill>
    </fill>
    <fill>
      <patternFill patternType="solid">
        <fgColor rgb="FF8D5000"/>
      </patternFill>
    </fill>
    <fill>
      <patternFill patternType="solid">
        <fgColor rgb="FFFFEAEA"/>
      </patternFill>
    </fill>
    <fill>
      <patternFill patternType="solid">
        <fgColor rgb="FFFFF9C4"/>
      </patternFill>
    </fill>
    <fill>
      <patternFill patternType="solid">
        <fgColor rgb="FF080F1E"/>
        <bgColor rgb="FF080F1E"/>
      </patternFill>
    </fill>
    <fill>
      <patternFill patternType="solid">
        <fgColor rgb="FF0D1B2E"/>
        <bgColor rgb="FF0D1B2E"/>
      </patternFill>
    </fill>
    <fill>
      <patternFill patternType="solid">
        <fgColor rgb="FF1A6FC4"/>
        <bgColor rgb="FF1A6FC4"/>
      </patternFill>
    </fill>
    <fill>
      <patternFill patternType="solid">
        <fgColor theme="0"/>
        <bgColor theme="0"/>
      </patternFill>
    </fill>
    <fill>
      <patternFill patternType="solid">
        <fgColor rgb="FF10B981"/>
        <bgColor rgb="FF10B981"/>
      </patternFill>
    </fill>
    <fill>
      <patternFill patternType="solid">
        <fgColor rgb="FFF0A500"/>
        <bgColor rgb="FFF0A500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rgb="FFDDE3EC"/>
      </left>
      <right style="thin">
        <color rgb="FFDDE3EC"/>
      </right>
      <top style="thin">
        <color rgb="FFDDE3EC"/>
      </top>
      <bottom style="thin">
        <color rgb="FFDDE3EC"/>
      </bottom>
      <diagonal/>
    </border>
    <border>
      <left style="thin">
        <color rgb="FF00B8D9"/>
      </left>
      <right style="thin">
        <color rgb="FF00B8D9"/>
      </right>
      <top style="thin">
        <color rgb="FF00B8D9"/>
      </top>
      <bottom style="thin">
        <color rgb="FF00B8D9"/>
      </bottom>
      <diagonal/>
    </border>
    <border>
      <left/>
      <right/>
      <top style="thin">
        <color rgb="FFDDE3EC"/>
      </top>
      <bottom style="thin">
        <color rgb="FFDDE3EC"/>
      </bottom>
      <diagonal/>
    </border>
    <border>
      <left/>
      <right style="thin">
        <color rgb="FFDDE3EC"/>
      </right>
      <top style="thin">
        <color rgb="FFDDE3EC"/>
      </top>
      <bottom style="thin">
        <color rgb="FFDDE3E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E3558"/>
      </left>
      <right style="thin">
        <color rgb="FF1E3558"/>
      </right>
      <top style="thin">
        <color rgb="FF1E3558"/>
      </top>
      <bottom style="thin">
        <color rgb="FF1E3558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6" fillId="0" borderId="6" xfId="0" applyFont="1" applyBorder="1"/>
    <xf numFmtId="0" fontId="15" fillId="17" borderId="7" xfId="0" applyFont="1" applyFill="1" applyBorder="1" applyAlignment="1">
      <alignment horizontal="center" vertical="center" wrapText="1"/>
    </xf>
    <xf numFmtId="14" fontId="19" fillId="18" borderId="7" xfId="0" applyNumberFormat="1" applyFont="1" applyFill="1" applyBorder="1" applyAlignment="1">
      <alignment horizontal="center"/>
    </xf>
    <xf numFmtId="3" fontId="20" fillId="18" borderId="7" xfId="0" applyNumberFormat="1" applyFont="1" applyFill="1" applyBorder="1" applyAlignment="1">
      <alignment horizontal="center"/>
    </xf>
    <xf numFmtId="0" fontId="21" fillId="18" borderId="7" xfId="0" applyFont="1" applyFill="1" applyBorder="1"/>
    <xf numFmtId="0" fontId="15" fillId="15" borderId="7" xfId="0" applyFont="1" applyFill="1" applyBorder="1" applyAlignment="1">
      <alignment horizontal="center" vertical="center" wrapText="1"/>
    </xf>
    <xf numFmtId="0" fontId="22" fillId="18" borderId="7" xfId="0" applyFont="1" applyFill="1" applyBorder="1" applyAlignment="1">
      <alignment horizontal="center"/>
    </xf>
    <xf numFmtId="0" fontId="20" fillId="18" borderId="7" xfId="0" applyFont="1" applyFill="1" applyBorder="1" applyAlignment="1">
      <alignment horizontal="center"/>
    </xf>
    <xf numFmtId="3" fontId="21" fillId="18" borderId="7" xfId="0" applyNumberFormat="1" applyFont="1" applyFill="1" applyBorder="1" applyAlignment="1">
      <alignment horizontal="center"/>
    </xf>
    <xf numFmtId="3" fontId="22" fillId="18" borderId="7" xfId="0" applyNumberFormat="1" applyFont="1" applyFill="1" applyBorder="1" applyAlignment="1">
      <alignment horizontal="center"/>
    </xf>
    <xf numFmtId="3" fontId="18" fillId="18" borderId="7" xfId="0" applyNumberFormat="1" applyFont="1" applyFill="1" applyBorder="1" applyAlignment="1">
      <alignment horizontal="center"/>
    </xf>
    <xf numFmtId="165" fontId="21" fillId="18" borderId="7" xfId="0" applyNumberFormat="1" applyFont="1" applyFill="1" applyBorder="1" applyAlignment="1">
      <alignment horizontal="center"/>
    </xf>
    <xf numFmtId="0" fontId="21" fillId="18" borderId="7" xfId="0" applyFont="1" applyFill="1" applyBorder="1" applyAlignment="1">
      <alignment horizontal="center"/>
    </xf>
    <xf numFmtId="0" fontId="24" fillId="0" borderId="6" xfId="0" applyFont="1" applyBorder="1" applyAlignment="1">
      <alignment horizontal="center"/>
    </xf>
    <xf numFmtId="3" fontId="27" fillId="0" borderId="7" xfId="0" applyNumberFormat="1" applyFont="1" applyBorder="1" applyAlignment="1">
      <alignment horizontal="center"/>
    </xf>
    <xf numFmtId="3" fontId="23" fillId="19" borderId="7" xfId="0" applyNumberFormat="1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 vertical="center" wrapText="1"/>
    </xf>
    <xf numFmtId="14" fontId="30" fillId="18" borderId="7" xfId="0" applyNumberFormat="1" applyFont="1" applyFill="1" applyBorder="1" applyAlignment="1">
      <alignment horizontal="center"/>
    </xf>
    <xf numFmtId="0" fontId="31" fillId="18" borderId="7" xfId="0" applyFont="1" applyFill="1" applyBorder="1" applyAlignment="1">
      <alignment horizontal="center"/>
    </xf>
    <xf numFmtId="3" fontId="31" fillId="18" borderId="7" xfId="0" applyNumberFormat="1" applyFont="1" applyFill="1" applyBorder="1" applyAlignment="1">
      <alignment horizontal="center"/>
    </xf>
    <xf numFmtId="3" fontId="28" fillId="18" borderId="7" xfId="0" applyNumberFormat="1" applyFont="1" applyFill="1" applyBorder="1" applyAlignment="1">
      <alignment horizontal="center"/>
    </xf>
    <xf numFmtId="0" fontId="0" fillId="0" borderId="0" xfId="0"/>
    <xf numFmtId="0" fontId="15" fillId="16" borderId="5" xfId="0" applyFont="1" applyFill="1" applyBorder="1" applyAlignment="1">
      <alignment horizontal="center" vertical="center"/>
    </xf>
    <xf numFmtId="0" fontId="15" fillId="15" borderId="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/>
    </xf>
    <xf numFmtId="0" fontId="17" fillId="16" borderId="5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26" fillId="16" borderId="5" xfId="0" applyFont="1" applyFill="1" applyBorder="1" applyAlignment="1">
      <alignment horizontal="center"/>
    </xf>
    <xf numFmtId="0" fontId="23" fillId="17" borderId="5" xfId="0" applyFont="1" applyFill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5" fillId="16" borderId="5" xfId="0" applyFont="1" applyFill="1" applyBorder="1" applyAlignment="1">
      <alignment horizontal="center"/>
    </xf>
    <xf numFmtId="0" fontId="23" fillId="15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4" fillId="11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1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2" fillId="3" borderId="1" xfId="0" applyFont="1" applyFill="1" applyBorder="1" applyAlignment="1">
      <alignment horizontal="left" vertical="center" wrapText="1"/>
    </xf>
    <xf numFmtId="0" fontId="24" fillId="0" borderId="0" xfId="0" applyFont="1"/>
    <xf numFmtId="0" fontId="24" fillId="0" borderId="0" xfId="0" applyFont="1"/>
    <xf numFmtId="0" fontId="34" fillId="3" borderId="0" xfId="0" applyFont="1" applyFill="1" applyAlignment="1">
      <alignment horizontal="left" vertical="center" wrapText="1"/>
    </xf>
    <xf numFmtId="0" fontId="32" fillId="3" borderId="0" xfId="0" applyFont="1" applyFill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 wrapText="1"/>
    </xf>
    <xf numFmtId="0" fontId="35" fillId="4" borderId="0" xfId="0" applyFont="1" applyFill="1" applyAlignment="1">
      <alignment horizontal="left" vertical="center" wrapText="1"/>
    </xf>
    <xf numFmtId="0" fontId="36" fillId="3" borderId="1" xfId="0" applyFont="1" applyFill="1" applyBorder="1" applyAlignment="1">
      <alignment horizontal="left" vertical="center" wrapText="1"/>
    </xf>
    <xf numFmtId="0" fontId="33" fillId="8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3" fillId="8" borderId="2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right" vertical="center"/>
    </xf>
    <xf numFmtId="0" fontId="24" fillId="0" borderId="3" xfId="0" applyFont="1" applyBorder="1"/>
    <xf numFmtId="0" fontId="24" fillId="0" borderId="4" xfId="0" applyFont="1" applyBorder="1"/>
    <xf numFmtId="0" fontId="38" fillId="2" borderId="1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3" fillId="5" borderId="2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3" fillId="21" borderId="0" xfId="0" applyFont="1" applyFill="1" applyAlignment="1">
      <alignment horizontal="center" vertical="center"/>
    </xf>
    <xf numFmtId="0" fontId="24" fillId="21" borderId="0" xfId="0" applyFont="1" applyFill="1"/>
    <xf numFmtId="0" fontId="39" fillId="10" borderId="0" xfId="0" applyFont="1" applyFill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0" fontId="39" fillId="10" borderId="2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651"/>
  </sheetPr>
  <dimension ref="A1:C21"/>
  <sheetViews>
    <sheetView showGridLines="0" tabSelected="1" workbookViewId="0">
      <selection activeCell="A4" sqref="A4"/>
    </sheetView>
  </sheetViews>
  <sheetFormatPr baseColWidth="10" defaultColWidth="9.140625" defaultRowHeight="12" x14ac:dyDescent="0.2"/>
  <cols>
    <col min="1" max="1" width="22" style="67" customWidth="1"/>
    <col min="2" max="2" width="55" style="67" customWidth="1"/>
    <col min="3" max="3" width="10" style="67" customWidth="1"/>
    <col min="4" max="16384" width="9.140625" style="67"/>
  </cols>
  <sheetData>
    <row r="1" spans="1:3" ht="32.1" customHeight="1" x14ac:dyDescent="0.2">
      <c r="A1" s="89" t="s">
        <v>0</v>
      </c>
      <c r="B1" s="90"/>
      <c r="C1" s="90"/>
    </row>
    <row r="3" spans="1:3" ht="15.95" customHeight="1" x14ac:dyDescent="0.2">
      <c r="A3" s="68"/>
      <c r="B3" s="69"/>
      <c r="C3" s="69"/>
    </row>
    <row r="4" spans="1:3" ht="20.100000000000001" customHeight="1" x14ac:dyDescent="0.2">
      <c r="A4" s="70" t="s">
        <v>1</v>
      </c>
      <c r="B4" s="71"/>
      <c r="C4" s="71"/>
    </row>
    <row r="5" spans="1:3" ht="15.95" customHeight="1" x14ac:dyDescent="0.2">
      <c r="A5" s="72" t="s">
        <v>2</v>
      </c>
      <c r="B5" s="65" t="s">
        <v>3</v>
      </c>
      <c r="C5" s="69"/>
    </row>
    <row r="6" spans="1:3" ht="15.95" customHeight="1" x14ac:dyDescent="0.2">
      <c r="A6" s="72" t="s">
        <v>4</v>
      </c>
      <c r="B6" s="65" t="s">
        <v>5</v>
      </c>
      <c r="C6" s="69"/>
    </row>
    <row r="7" spans="1:3" ht="15.95" customHeight="1" x14ac:dyDescent="0.2">
      <c r="A7" s="72" t="s">
        <v>6</v>
      </c>
      <c r="B7" s="65" t="s">
        <v>7</v>
      </c>
      <c r="C7" s="69"/>
    </row>
    <row r="8" spans="1:3" ht="15.95" customHeight="1" x14ac:dyDescent="0.2">
      <c r="A8" s="72" t="s">
        <v>8</v>
      </c>
      <c r="B8" s="65" t="s">
        <v>9</v>
      </c>
      <c r="C8" s="69"/>
    </row>
    <row r="9" spans="1:3" ht="15.95" customHeight="1" x14ac:dyDescent="0.2">
      <c r="A9" s="68"/>
      <c r="B9" s="69"/>
      <c r="C9" s="69"/>
    </row>
    <row r="10" spans="1:3" ht="20.100000000000001" customHeight="1" x14ac:dyDescent="0.2">
      <c r="A10" s="70" t="s">
        <v>10</v>
      </c>
      <c r="B10" s="71"/>
      <c r="C10" s="71"/>
    </row>
    <row r="11" spans="1:3" ht="15.95" customHeight="1" x14ac:dyDescent="0.2">
      <c r="A11" s="72" t="s">
        <v>2</v>
      </c>
      <c r="B11" s="65" t="s">
        <v>11</v>
      </c>
      <c r="C11" s="69"/>
    </row>
    <row r="12" spans="1:3" ht="15.95" customHeight="1" x14ac:dyDescent="0.2">
      <c r="A12" s="72" t="s">
        <v>12</v>
      </c>
      <c r="B12" s="65" t="s">
        <v>13</v>
      </c>
      <c r="C12" s="69"/>
    </row>
    <row r="13" spans="1:3" ht="15.95" customHeight="1" x14ac:dyDescent="0.2">
      <c r="A13" s="72" t="s">
        <v>8</v>
      </c>
      <c r="B13" s="65" t="s">
        <v>14</v>
      </c>
      <c r="C13" s="69"/>
    </row>
    <row r="14" spans="1:3" ht="15.95" customHeight="1" x14ac:dyDescent="0.2">
      <c r="A14" s="68"/>
      <c r="B14" s="69"/>
      <c r="C14" s="69"/>
    </row>
    <row r="15" spans="1:3" ht="20.100000000000001" customHeight="1" x14ac:dyDescent="0.2">
      <c r="A15" s="94" t="s">
        <v>15</v>
      </c>
      <c r="B15" s="71"/>
      <c r="C15" s="71"/>
    </row>
    <row r="16" spans="1:3" ht="15.95" customHeight="1" x14ac:dyDescent="0.2">
      <c r="A16" s="72" t="s">
        <v>16</v>
      </c>
      <c r="B16" s="65" t="s">
        <v>17</v>
      </c>
      <c r="C16" s="69"/>
    </row>
    <row r="17" spans="1:3" ht="15.95" customHeight="1" x14ac:dyDescent="0.2">
      <c r="A17" s="72" t="s">
        <v>18</v>
      </c>
      <c r="B17" s="65" t="s">
        <v>19</v>
      </c>
      <c r="C17" s="69"/>
    </row>
    <row r="18" spans="1:3" ht="15.95" customHeight="1" x14ac:dyDescent="0.2">
      <c r="A18" s="68"/>
      <c r="B18" s="69"/>
      <c r="C18" s="69"/>
    </row>
    <row r="19" spans="1:3" ht="20.100000000000001" customHeight="1" x14ac:dyDescent="0.2">
      <c r="A19" s="70" t="s">
        <v>20</v>
      </c>
      <c r="B19" s="71"/>
      <c r="C19" s="71"/>
    </row>
    <row r="20" spans="1:3" ht="15.95" customHeight="1" x14ac:dyDescent="0.2">
      <c r="A20" s="72" t="s">
        <v>21</v>
      </c>
      <c r="B20" s="65" t="s">
        <v>22</v>
      </c>
      <c r="C20" s="69"/>
    </row>
    <row r="21" spans="1:3" ht="15.95" customHeight="1" x14ac:dyDescent="0.2">
      <c r="A21" s="72" t="s">
        <v>23</v>
      </c>
      <c r="B21" s="65" t="s">
        <v>24</v>
      </c>
      <c r="C21" s="69"/>
    </row>
  </sheetData>
  <mergeCells count="1">
    <mergeCell ref="A1:C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8D9"/>
  </sheetPr>
  <dimension ref="A1:Z1000"/>
  <sheetViews>
    <sheetView showGridLines="0" workbookViewId="0">
      <selection sqref="A1:P1"/>
    </sheetView>
  </sheetViews>
  <sheetFormatPr baseColWidth="10" defaultColWidth="9.140625" defaultRowHeight="15" x14ac:dyDescent="0.25"/>
  <cols>
    <col min="1" max="1" width="14" customWidth="1"/>
    <col min="2" max="2" width="13" customWidth="1"/>
    <col min="14" max="14" width="18" customWidth="1"/>
    <col min="15" max="15" width="12" customWidth="1"/>
    <col min="16" max="16" width="25" customWidth="1"/>
    <col min="17" max="17" width="8.7109375" customWidth="1"/>
  </cols>
  <sheetData>
    <row r="1" spans="1:26" ht="30" customHeight="1" x14ac:dyDescent="0.25">
      <c r="A1" s="44" t="s">
        <v>25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9.5" customHeight="1" x14ac:dyDescent="0.25">
      <c r="A2" s="46" t="s">
        <v>26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7.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4.5" customHeight="1" x14ac:dyDescent="0.25">
      <c r="A4" s="22" t="s">
        <v>27</v>
      </c>
      <c r="B4" s="22" t="s">
        <v>28</v>
      </c>
      <c r="C4" s="22" t="s">
        <v>29</v>
      </c>
      <c r="D4" s="22" t="s">
        <v>30</v>
      </c>
      <c r="E4" s="22" t="s">
        <v>31</v>
      </c>
      <c r="F4" s="22" t="s">
        <v>32</v>
      </c>
      <c r="G4" s="22" t="s">
        <v>33</v>
      </c>
      <c r="H4" s="22" t="s">
        <v>34</v>
      </c>
      <c r="I4" s="22" t="s">
        <v>35</v>
      </c>
      <c r="J4" s="22" t="s">
        <v>36</v>
      </c>
      <c r="K4" s="22" t="s">
        <v>37</v>
      </c>
      <c r="L4" s="22" t="s">
        <v>38</v>
      </c>
      <c r="M4" s="22" t="s">
        <v>39</v>
      </c>
      <c r="N4" s="22" t="s">
        <v>40</v>
      </c>
      <c r="O4" s="22" t="s">
        <v>41</v>
      </c>
      <c r="P4" s="22" t="s">
        <v>42</v>
      </c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25">
      <c r="A5" s="45" t="s">
        <v>43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25">
      <c r="A6" s="23">
        <v>45658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  <c r="O6" s="25"/>
      <c r="P6" s="25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25">
      <c r="A7" s="23">
        <v>45659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  <c r="O7" s="25"/>
      <c r="P7" s="25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25">
      <c r="A8" s="23">
        <v>45660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  <c r="O8" s="25"/>
      <c r="P8" s="25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5">
      <c r="A9" s="23">
        <v>45661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  <c r="O9" s="25"/>
      <c r="P9" s="25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25">
      <c r="A10" s="23">
        <v>45662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  <c r="O10" s="25"/>
      <c r="P10" s="25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5">
      <c r="A11" s="23">
        <v>45663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5"/>
      <c r="O11" s="25"/>
      <c r="P11" s="25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25">
      <c r="A12" s="23">
        <v>45664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5"/>
      <c r="O12" s="25"/>
      <c r="P12" s="25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25">
      <c r="A13" s="23">
        <v>45665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5"/>
      <c r="O13" s="25"/>
      <c r="P13" s="25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5">
      <c r="A14" s="23">
        <v>45666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5"/>
      <c r="O14" s="25"/>
      <c r="P14" s="25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5">
      <c r="A15" s="23">
        <v>45667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25">
      <c r="A16" s="23">
        <v>45668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O16" s="25"/>
      <c r="P16" s="25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25">
      <c r="A17" s="23">
        <v>45669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/>
      <c r="O17" s="25"/>
      <c r="P17" s="25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5">
      <c r="A18" s="23">
        <v>45670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  <c r="O18" s="25"/>
      <c r="P18" s="25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25">
      <c r="A19" s="23">
        <v>45671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5"/>
      <c r="O19" s="25"/>
      <c r="P19" s="25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5">
      <c r="A20" s="23">
        <v>45672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5"/>
      <c r="O20" s="25"/>
      <c r="P20" s="25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 x14ac:dyDescent="0.25">
      <c r="A21" s="23">
        <v>45673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5"/>
      <c r="O21" s="25"/>
      <c r="P21" s="25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 x14ac:dyDescent="0.25">
      <c r="A22" s="23">
        <v>45674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5"/>
      <c r="O22" s="25"/>
      <c r="P22" s="25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 x14ac:dyDescent="0.25">
      <c r="A23" s="23">
        <v>45675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5"/>
      <c r="O23" s="25"/>
      <c r="P23" s="25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 x14ac:dyDescent="0.25">
      <c r="A24" s="23">
        <v>45676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/>
      <c r="O24" s="25"/>
      <c r="P24" s="25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 x14ac:dyDescent="0.25">
      <c r="A25" s="23">
        <v>45677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5"/>
      <c r="O25" s="25"/>
      <c r="P25" s="25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 x14ac:dyDescent="0.25">
      <c r="A26" s="23">
        <v>45678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5"/>
      <c r="O26" s="25"/>
      <c r="P26" s="25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 x14ac:dyDescent="0.25">
      <c r="A27" s="23">
        <v>45679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5"/>
      <c r="O27" s="25"/>
      <c r="P27" s="25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 x14ac:dyDescent="0.25">
      <c r="A28" s="23">
        <v>45680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5"/>
      <c r="O28" s="25"/>
      <c r="P28" s="25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 x14ac:dyDescent="0.25">
      <c r="A29" s="23">
        <v>45681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  <c r="O29" s="25"/>
      <c r="P29" s="25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 x14ac:dyDescent="0.25">
      <c r="A30" s="23">
        <v>45682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5"/>
      <c r="O30" s="25"/>
      <c r="P30" s="25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 x14ac:dyDescent="0.25">
      <c r="A31" s="23">
        <v>45683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5"/>
      <c r="O31" s="25"/>
      <c r="P31" s="25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 x14ac:dyDescent="0.25">
      <c r="A32" s="23">
        <v>45684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5"/>
      <c r="O32" s="25"/>
      <c r="P32" s="25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 x14ac:dyDescent="0.25">
      <c r="A33" s="23">
        <v>45685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5"/>
      <c r="O33" s="25"/>
      <c r="P33" s="25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 x14ac:dyDescent="0.25">
      <c r="A34" s="23">
        <v>45686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5"/>
      <c r="O34" s="25"/>
      <c r="P34" s="25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 x14ac:dyDescent="0.25">
      <c r="A35" s="23">
        <v>45687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  <c r="O35" s="25"/>
      <c r="P35" s="25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 x14ac:dyDescent="0.25">
      <c r="A36" s="23">
        <v>45688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5"/>
      <c r="O36" s="25"/>
      <c r="P36" s="25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7.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4.75" customHeight="1" x14ac:dyDescent="0.25">
      <c r="A39" s="43" t="s">
        <v>44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24.75" customHeight="1" x14ac:dyDescent="0.25">
      <c r="A40" s="26" t="s">
        <v>45</v>
      </c>
      <c r="B40" s="26" t="s">
        <v>46</v>
      </c>
      <c r="C40" s="26" t="s">
        <v>47</v>
      </c>
      <c r="D40" s="26" t="s">
        <v>48</v>
      </c>
      <c r="E40" s="26" t="s">
        <v>49</v>
      </c>
      <c r="F40" s="26" t="s">
        <v>50</v>
      </c>
      <c r="G40" s="26" t="s">
        <v>51</v>
      </c>
      <c r="H40" s="26" t="s">
        <v>52</v>
      </c>
      <c r="I40" s="26" t="s">
        <v>53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 x14ac:dyDescent="0.25">
      <c r="A41" s="27" t="s">
        <v>54</v>
      </c>
      <c r="B41" s="28" t="s">
        <v>55</v>
      </c>
      <c r="C41" s="29">
        <f t="array" ref="C41">IFERROR(INDEX(B6:B36,MATCH(TRUE,B6:B36&lt;&gt;"",0)),0)</f>
        <v>0</v>
      </c>
      <c r="D41" s="29">
        <f>IFERROR(LOOKUP(2,1/(B6:B36&lt;&gt;""),B6:B36),0)</f>
        <v>0</v>
      </c>
      <c r="E41" s="30">
        <f t="shared" ref="E41:E52" si="0">IF(D41-C41&gt;0,D41-C41,0)</f>
        <v>0</v>
      </c>
      <c r="F41" s="31">
        <v>160</v>
      </c>
      <c r="G41" s="29">
        <f t="shared" ref="G41:G52" si="1">F41-E41</f>
        <v>160</v>
      </c>
      <c r="H41" s="32">
        <f t="shared" ref="H41:H52" si="2">IFERROR(E41/F41,0)</f>
        <v>0</v>
      </c>
      <c r="I41" s="33" t="str">
        <f t="shared" ref="I41:I52" si="3">IF(E41&gt;=F41,"🔴 LÍMITE SUPERADO",IF(E41&gt;=F41*0.85,"🟡 ALERTA",IF(E41&gt;=F41*0.6,"🟠 PRECAUCIÓN","🟢 OK")))</f>
        <v>🟢 OK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 x14ac:dyDescent="0.25">
      <c r="A42" s="27" t="s">
        <v>56</v>
      </c>
      <c r="B42" s="28" t="s">
        <v>55</v>
      </c>
      <c r="C42" s="29">
        <f t="array" ref="C42">IFERROR(INDEX(C6:C36,MATCH(TRUE,C6:C36&lt;&gt;"",0)),0)</f>
        <v>0</v>
      </c>
      <c r="D42" s="29">
        <f>IFERROR(LOOKUP(2,1/(C6:C36&lt;&gt;""),C6:C36),0)</f>
        <v>0</v>
      </c>
      <c r="E42" s="30">
        <f t="shared" si="0"/>
        <v>0</v>
      </c>
      <c r="F42" s="31">
        <v>160</v>
      </c>
      <c r="G42" s="29">
        <f t="shared" si="1"/>
        <v>160</v>
      </c>
      <c r="H42" s="32">
        <f t="shared" si="2"/>
        <v>0</v>
      </c>
      <c r="I42" s="33" t="str">
        <f t="shared" si="3"/>
        <v>🟢 OK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 x14ac:dyDescent="0.25">
      <c r="A43" s="27" t="s">
        <v>57</v>
      </c>
      <c r="B43" s="28" t="s">
        <v>55</v>
      </c>
      <c r="C43" s="29">
        <f t="array" ref="C43">IFERROR(INDEX(D6:D36,MATCH(TRUE,D6:D36&lt;&gt;"",0)),0)</f>
        <v>0</v>
      </c>
      <c r="D43" s="29">
        <f>IFERROR(LOOKUP(2,1/(D6:D36&lt;&gt;""),D6:D36),0)</f>
        <v>0</v>
      </c>
      <c r="E43" s="30">
        <f t="shared" si="0"/>
        <v>0</v>
      </c>
      <c r="F43" s="31">
        <v>160</v>
      </c>
      <c r="G43" s="29">
        <f t="shared" si="1"/>
        <v>160</v>
      </c>
      <c r="H43" s="32">
        <f t="shared" si="2"/>
        <v>0</v>
      </c>
      <c r="I43" s="33" t="str">
        <f t="shared" si="3"/>
        <v>🟢 OK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 x14ac:dyDescent="0.25">
      <c r="A44" s="27" t="s">
        <v>58</v>
      </c>
      <c r="B44" s="28" t="s">
        <v>55</v>
      </c>
      <c r="C44" s="29">
        <f t="array" ref="C44">IFERROR(INDEX(E6:E36,MATCH(TRUE,E6:E36&lt;&gt;"",0)),0)</f>
        <v>0</v>
      </c>
      <c r="D44" s="29">
        <f>IFERROR(LOOKUP(2,1/(E6:E36&lt;&gt;""),E6:E36),0)</f>
        <v>0</v>
      </c>
      <c r="E44" s="30">
        <f t="shared" si="0"/>
        <v>0</v>
      </c>
      <c r="F44" s="31">
        <v>160</v>
      </c>
      <c r="G44" s="29">
        <f t="shared" si="1"/>
        <v>160</v>
      </c>
      <c r="H44" s="32">
        <f t="shared" si="2"/>
        <v>0</v>
      </c>
      <c r="I44" s="33" t="str">
        <f t="shared" si="3"/>
        <v>🟢 OK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 x14ac:dyDescent="0.25">
      <c r="A45" s="27" t="s">
        <v>59</v>
      </c>
      <c r="B45" s="28" t="s">
        <v>55</v>
      </c>
      <c r="C45" s="29">
        <f t="array" ref="C45">IFERROR(INDEX(F6:F36,MATCH(TRUE,F6:F36&lt;&gt;"",0)),0)</f>
        <v>0</v>
      </c>
      <c r="D45" s="29">
        <f>IFERROR(LOOKUP(2,1/(F6:F36&lt;&gt;""),F6:F36),0)</f>
        <v>0</v>
      </c>
      <c r="E45" s="30">
        <f t="shared" si="0"/>
        <v>0</v>
      </c>
      <c r="F45" s="31">
        <v>160</v>
      </c>
      <c r="G45" s="29">
        <f t="shared" si="1"/>
        <v>160</v>
      </c>
      <c r="H45" s="32">
        <f t="shared" si="2"/>
        <v>0</v>
      </c>
      <c r="I45" s="33" t="str">
        <f t="shared" si="3"/>
        <v>🟢 OK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 x14ac:dyDescent="0.25">
      <c r="A46" s="27" t="s">
        <v>60</v>
      </c>
      <c r="B46" s="28" t="s">
        <v>55</v>
      </c>
      <c r="C46" s="29">
        <f t="array" ref="C46">IFERROR(INDEX(G6:G36,MATCH(TRUE,G6:G36&lt;&gt;"",0)),0)</f>
        <v>0</v>
      </c>
      <c r="D46" s="29">
        <f>IFERROR(LOOKUP(2,1/(G6:G36&lt;&gt;""),G6:G36),0)</f>
        <v>0</v>
      </c>
      <c r="E46" s="30">
        <f t="shared" si="0"/>
        <v>0</v>
      </c>
      <c r="F46" s="31">
        <v>160</v>
      </c>
      <c r="G46" s="29">
        <f t="shared" si="1"/>
        <v>160</v>
      </c>
      <c r="H46" s="32">
        <f t="shared" si="2"/>
        <v>0</v>
      </c>
      <c r="I46" s="33" t="str">
        <f t="shared" si="3"/>
        <v>🟢 OK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 x14ac:dyDescent="0.25">
      <c r="A47" s="27" t="s">
        <v>61</v>
      </c>
      <c r="B47" s="28" t="s">
        <v>55</v>
      </c>
      <c r="C47" s="29">
        <f t="array" ref="C47">IFERROR(INDEX(H6:H36,MATCH(TRUE,H6:H36&lt;&gt;"",0)),0)</f>
        <v>0</v>
      </c>
      <c r="D47" s="29">
        <f>IFERROR(LOOKUP(2,1/(H6:H36&lt;&gt;""),H6:H36),0)</f>
        <v>0</v>
      </c>
      <c r="E47" s="30">
        <f t="shared" si="0"/>
        <v>0</v>
      </c>
      <c r="F47" s="31">
        <v>160</v>
      </c>
      <c r="G47" s="29">
        <f t="shared" si="1"/>
        <v>160</v>
      </c>
      <c r="H47" s="32">
        <f t="shared" si="2"/>
        <v>0</v>
      </c>
      <c r="I47" s="33" t="str">
        <f t="shared" si="3"/>
        <v>🟢 OK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 x14ac:dyDescent="0.25">
      <c r="A48" s="27" t="s">
        <v>62</v>
      </c>
      <c r="B48" s="28" t="s">
        <v>55</v>
      </c>
      <c r="C48" s="29">
        <f t="array" ref="C48">IFERROR(INDEX(I6:I36,MATCH(TRUE,I6:I36&lt;&gt;"",0)),0)</f>
        <v>0</v>
      </c>
      <c r="D48" s="29">
        <f>IFERROR(LOOKUP(2,1/(I6:I36&lt;&gt;""),I6:I36),0)</f>
        <v>0</v>
      </c>
      <c r="E48" s="30">
        <f t="shared" si="0"/>
        <v>0</v>
      </c>
      <c r="F48" s="31">
        <v>160</v>
      </c>
      <c r="G48" s="29">
        <f t="shared" si="1"/>
        <v>160</v>
      </c>
      <c r="H48" s="32">
        <f t="shared" si="2"/>
        <v>0</v>
      </c>
      <c r="I48" s="33" t="str">
        <f t="shared" si="3"/>
        <v>🟢 OK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 x14ac:dyDescent="0.25">
      <c r="A49" s="27" t="s">
        <v>63</v>
      </c>
      <c r="B49" s="28" t="s">
        <v>55</v>
      </c>
      <c r="C49" s="29">
        <f t="array" ref="C49">IFERROR(INDEX(J6:J36,MATCH(TRUE,J6:J36&lt;&gt;"",0)),0)</f>
        <v>0</v>
      </c>
      <c r="D49" s="29">
        <f>IFERROR(LOOKUP(2,1/(J6:J36&lt;&gt;""),J6:J36),0)</f>
        <v>0</v>
      </c>
      <c r="E49" s="30">
        <f t="shared" si="0"/>
        <v>0</v>
      </c>
      <c r="F49" s="31">
        <v>160</v>
      </c>
      <c r="G49" s="29">
        <f t="shared" si="1"/>
        <v>160</v>
      </c>
      <c r="H49" s="32">
        <f t="shared" si="2"/>
        <v>0</v>
      </c>
      <c r="I49" s="33" t="str">
        <f t="shared" si="3"/>
        <v>🟢 OK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 x14ac:dyDescent="0.25">
      <c r="A50" s="27" t="s">
        <v>64</v>
      </c>
      <c r="B50" s="28" t="s">
        <v>55</v>
      </c>
      <c r="C50" s="29">
        <f t="array" ref="C50">IFERROR(INDEX(K6:K36,MATCH(TRUE,K6:K36&lt;&gt;"",0)),0)</f>
        <v>0</v>
      </c>
      <c r="D50" s="29">
        <f>IFERROR(LOOKUP(2,1/(K6:K36&lt;&gt;""),K6:K36),0)</f>
        <v>0</v>
      </c>
      <c r="E50" s="30">
        <f t="shared" si="0"/>
        <v>0</v>
      </c>
      <c r="F50" s="31">
        <v>160</v>
      </c>
      <c r="G50" s="29">
        <f t="shared" si="1"/>
        <v>160</v>
      </c>
      <c r="H50" s="32">
        <f t="shared" si="2"/>
        <v>0</v>
      </c>
      <c r="I50" s="33" t="str">
        <f t="shared" si="3"/>
        <v>🟢 OK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 x14ac:dyDescent="0.25">
      <c r="A51" s="27" t="s">
        <v>65</v>
      </c>
      <c r="B51" s="28" t="s">
        <v>55</v>
      </c>
      <c r="C51" s="29">
        <f t="array" ref="C51">IFERROR(INDEX(L6:L36,MATCH(TRUE,L6:L36&lt;&gt;"",0)),0)</f>
        <v>0</v>
      </c>
      <c r="D51" s="29">
        <f>IFERROR(LOOKUP(2,1/(L6:L36&lt;&gt;""),L6:L36),0)</f>
        <v>0</v>
      </c>
      <c r="E51" s="30">
        <f t="shared" si="0"/>
        <v>0</v>
      </c>
      <c r="F51" s="31">
        <v>160</v>
      </c>
      <c r="G51" s="29">
        <f t="shared" si="1"/>
        <v>160</v>
      </c>
      <c r="H51" s="32">
        <f t="shared" si="2"/>
        <v>0</v>
      </c>
      <c r="I51" s="33" t="str">
        <f t="shared" si="3"/>
        <v>🟢 OK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 x14ac:dyDescent="0.25">
      <c r="A52" s="27" t="s">
        <v>66</v>
      </c>
      <c r="B52" s="28" t="s">
        <v>55</v>
      </c>
      <c r="C52" s="29">
        <f t="array" ref="C52">IFERROR(INDEX(M6:M36,MATCH(TRUE,M6:M36&lt;&gt;"",0)),0)</f>
        <v>0</v>
      </c>
      <c r="D52" s="29">
        <f>IFERROR(LOOKUP(2,1/(M6:M36&lt;&gt;""),M6:M36),0)</f>
        <v>0</v>
      </c>
      <c r="E52" s="30">
        <f t="shared" si="0"/>
        <v>0</v>
      </c>
      <c r="F52" s="31">
        <v>160</v>
      </c>
      <c r="G52" s="29">
        <f t="shared" si="1"/>
        <v>160</v>
      </c>
      <c r="H52" s="32">
        <f t="shared" si="2"/>
        <v>0</v>
      </c>
      <c r="I52" s="33" t="str">
        <f t="shared" si="3"/>
        <v>🟢 OK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4">
    <mergeCell ref="A39:P39"/>
    <mergeCell ref="A1:P1"/>
    <mergeCell ref="A5:P5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8B8"/>
  </sheetPr>
  <dimension ref="A1:F27"/>
  <sheetViews>
    <sheetView showGridLines="0" workbookViewId="0"/>
  </sheetViews>
  <sheetFormatPr baseColWidth="10" defaultColWidth="9.140625" defaultRowHeight="15" x14ac:dyDescent="0.25"/>
  <cols>
    <col min="1" max="1" width="6" customWidth="1"/>
    <col min="2" max="2" width="20" customWidth="1"/>
    <col min="3" max="3" width="14" customWidth="1"/>
    <col min="4" max="4" width="20" customWidth="1"/>
    <col min="5" max="5" width="18" customWidth="1"/>
    <col min="6" max="6" width="8" customWidth="1"/>
  </cols>
  <sheetData>
    <row r="1" spans="1:6" ht="32.1" customHeight="1" x14ac:dyDescent="0.25">
      <c r="A1" s="49" t="s">
        <v>67</v>
      </c>
      <c r="B1" s="42"/>
      <c r="C1" s="42"/>
      <c r="D1" s="42"/>
      <c r="E1" s="42"/>
      <c r="F1" s="42"/>
    </row>
    <row r="2" spans="1:6" ht="18" customHeight="1" x14ac:dyDescent="0.25">
      <c r="A2" s="48" t="s">
        <v>68</v>
      </c>
      <c r="B2" s="42"/>
      <c r="C2" s="42"/>
      <c r="D2" s="42"/>
      <c r="E2" s="42"/>
      <c r="F2" s="42"/>
    </row>
    <row r="4" spans="1:6" ht="20.100000000000001" customHeight="1" x14ac:dyDescent="0.25">
      <c r="A4" s="50" t="s">
        <v>69</v>
      </c>
      <c r="B4" s="42"/>
      <c r="C4" s="42"/>
      <c r="D4" s="42"/>
      <c r="E4" s="42"/>
      <c r="F4" s="42"/>
    </row>
    <row r="5" spans="1:6" ht="21.95" customHeight="1" x14ac:dyDescent="0.25">
      <c r="A5" s="1" t="s">
        <v>70</v>
      </c>
      <c r="B5" s="1" t="s">
        <v>71</v>
      </c>
      <c r="C5" s="1" t="s">
        <v>46</v>
      </c>
      <c r="D5" s="1" t="s">
        <v>72</v>
      </c>
      <c r="E5" s="1" t="s">
        <v>73</v>
      </c>
      <c r="F5" s="1" t="s">
        <v>74</v>
      </c>
    </row>
    <row r="6" spans="1:6" ht="18" customHeight="1" x14ac:dyDescent="0.25">
      <c r="A6" s="2">
        <v>1</v>
      </c>
      <c r="B6" s="2" t="s">
        <v>54</v>
      </c>
      <c r="C6" s="2" t="s">
        <v>75</v>
      </c>
      <c r="D6" s="2" t="s">
        <v>76</v>
      </c>
      <c r="E6" s="3">
        <v>160</v>
      </c>
      <c r="F6" s="2" t="s">
        <v>77</v>
      </c>
    </row>
    <row r="7" spans="1:6" ht="18" customHeight="1" x14ac:dyDescent="0.25">
      <c r="A7" s="4">
        <v>2</v>
      </c>
      <c r="B7" s="4" t="s">
        <v>56</v>
      </c>
      <c r="C7" s="4" t="s">
        <v>78</v>
      </c>
      <c r="D7" s="4" t="s">
        <v>76</v>
      </c>
      <c r="E7" s="5">
        <v>160</v>
      </c>
      <c r="F7" s="4" t="s">
        <v>77</v>
      </c>
    </row>
    <row r="8" spans="1:6" ht="18" customHeight="1" x14ac:dyDescent="0.25">
      <c r="A8" s="2">
        <v>3</v>
      </c>
      <c r="B8" s="2" t="s">
        <v>57</v>
      </c>
      <c r="C8" s="2" t="s">
        <v>79</v>
      </c>
      <c r="D8" s="2" t="s">
        <v>80</v>
      </c>
      <c r="E8" s="3">
        <v>160</v>
      </c>
      <c r="F8" s="2" t="s">
        <v>77</v>
      </c>
    </row>
    <row r="9" spans="1:6" ht="18" customHeight="1" x14ac:dyDescent="0.25">
      <c r="A9" s="4">
        <v>4</v>
      </c>
      <c r="B9" s="4" t="s">
        <v>58</v>
      </c>
      <c r="C9" s="4" t="s">
        <v>81</v>
      </c>
      <c r="D9" s="4" t="s">
        <v>76</v>
      </c>
      <c r="E9" s="5">
        <v>160</v>
      </c>
      <c r="F9" s="4" t="s">
        <v>77</v>
      </c>
    </row>
    <row r="10" spans="1:6" ht="18" customHeight="1" x14ac:dyDescent="0.25">
      <c r="A10" s="2">
        <v>5</v>
      </c>
      <c r="B10" s="2" t="s">
        <v>59</v>
      </c>
      <c r="C10" s="2" t="s">
        <v>82</v>
      </c>
      <c r="D10" s="2" t="s">
        <v>80</v>
      </c>
      <c r="E10" s="3">
        <v>160</v>
      </c>
      <c r="F10" s="2" t="s">
        <v>77</v>
      </c>
    </row>
    <row r="11" spans="1:6" ht="18" customHeight="1" x14ac:dyDescent="0.25">
      <c r="A11" s="4">
        <v>6</v>
      </c>
      <c r="B11" s="4" t="s">
        <v>60</v>
      </c>
      <c r="C11" s="4" t="s">
        <v>83</v>
      </c>
      <c r="D11" s="4" t="s">
        <v>76</v>
      </c>
      <c r="E11" s="5">
        <v>160</v>
      </c>
      <c r="F11" s="4" t="s">
        <v>77</v>
      </c>
    </row>
    <row r="12" spans="1:6" ht="18" customHeight="1" x14ac:dyDescent="0.25">
      <c r="A12" s="2">
        <v>7</v>
      </c>
      <c r="B12" s="2" t="s">
        <v>61</v>
      </c>
      <c r="C12" s="2" t="s">
        <v>84</v>
      </c>
      <c r="D12" s="2" t="s">
        <v>80</v>
      </c>
      <c r="E12" s="3">
        <v>160</v>
      </c>
      <c r="F12" s="2" t="s">
        <v>77</v>
      </c>
    </row>
    <row r="13" spans="1:6" ht="18" customHeight="1" x14ac:dyDescent="0.25">
      <c r="A13" s="4">
        <v>8</v>
      </c>
      <c r="B13" s="4" t="s">
        <v>62</v>
      </c>
      <c r="C13" s="4" t="s">
        <v>85</v>
      </c>
      <c r="D13" s="4" t="s">
        <v>76</v>
      </c>
      <c r="E13" s="5">
        <v>160</v>
      </c>
      <c r="F13" s="4" t="s">
        <v>77</v>
      </c>
    </row>
    <row r="14" spans="1:6" ht="18" customHeight="1" x14ac:dyDescent="0.25">
      <c r="A14" s="2">
        <v>9</v>
      </c>
      <c r="B14" s="2" t="s">
        <v>63</v>
      </c>
      <c r="C14" s="2" t="s">
        <v>86</v>
      </c>
      <c r="D14" s="2" t="s">
        <v>80</v>
      </c>
      <c r="E14" s="3">
        <v>160</v>
      </c>
      <c r="F14" s="2" t="s">
        <v>77</v>
      </c>
    </row>
    <row r="15" spans="1:6" ht="18" customHeight="1" x14ac:dyDescent="0.25">
      <c r="A15" s="4">
        <v>10</v>
      </c>
      <c r="B15" s="4" t="s">
        <v>64</v>
      </c>
      <c r="C15" s="4" t="s">
        <v>87</v>
      </c>
      <c r="D15" s="4" t="s">
        <v>76</v>
      </c>
      <c r="E15" s="5">
        <v>160</v>
      </c>
      <c r="F15" s="4" t="s">
        <v>77</v>
      </c>
    </row>
    <row r="16" spans="1:6" ht="18" customHeight="1" x14ac:dyDescent="0.25">
      <c r="A16" s="2">
        <v>11</v>
      </c>
      <c r="B16" s="2" t="s">
        <v>65</v>
      </c>
      <c r="C16" s="2" t="s">
        <v>88</v>
      </c>
      <c r="D16" s="2" t="s">
        <v>80</v>
      </c>
      <c r="E16" s="3">
        <v>160</v>
      </c>
      <c r="F16" s="2" t="s">
        <v>77</v>
      </c>
    </row>
    <row r="17" spans="1:6" ht="18" customHeight="1" x14ac:dyDescent="0.25">
      <c r="A17" s="4">
        <v>12</v>
      </c>
      <c r="B17" s="4" t="s">
        <v>66</v>
      </c>
      <c r="C17" s="4" t="s">
        <v>89</v>
      </c>
      <c r="D17" s="4" t="s">
        <v>76</v>
      </c>
      <c r="E17" s="5">
        <v>160</v>
      </c>
      <c r="F17" s="4" t="s">
        <v>77</v>
      </c>
    </row>
    <row r="20" spans="1:6" ht="20.100000000000001" customHeight="1" x14ac:dyDescent="0.25">
      <c r="A20" s="47" t="s">
        <v>90</v>
      </c>
      <c r="B20" s="42"/>
      <c r="C20" s="42"/>
      <c r="D20" s="42"/>
      <c r="E20" s="42"/>
      <c r="F20" s="42"/>
    </row>
    <row r="21" spans="1:6" ht="21.95" customHeight="1" x14ac:dyDescent="0.25">
      <c r="A21" s="6" t="s">
        <v>70</v>
      </c>
      <c r="B21" s="6" t="s">
        <v>91</v>
      </c>
      <c r="C21" s="6" t="s">
        <v>46</v>
      </c>
      <c r="D21" s="6" t="s">
        <v>92</v>
      </c>
      <c r="E21" s="6" t="s">
        <v>93</v>
      </c>
      <c r="F21" s="6" t="s">
        <v>94</v>
      </c>
    </row>
    <row r="22" spans="1:6" ht="18" customHeight="1" x14ac:dyDescent="0.25">
      <c r="A22" s="2">
        <v>1</v>
      </c>
      <c r="B22" s="2" t="s">
        <v>95</v>
      </c>
      <c r="C22" s="2" t="s">
        <v>75</v>
      </c>
      <c r="D22" s="2" t="s">
        <v>96</v>
      </c>
      <c r="E22" s="2" t="s">
        <v>97</v>
      </c>
      <c r="F22" s="2" t="s">
        <v>77</v>
      </c>
    </row>
    <row r="23" spans="1:6" ht="18" customHeight="1" x14ac:dyDescent="0.25">
      <c r="A23" s="7">
        <v>2</v>
      </c>
      <c r="B23" s="7" t="s">
        <v>98</v>
      </c>
      <c r="C23" s="7" t="s">
        <v>78</v>
      </c>
      <c r="D23" s="7" t="s">
        <v>96</v>
      </c>
      <c r="E23" s="7" t="s">
        <v>97</v>
      </c>
      <c r="F23" s="7" t="s">
        <v>77</v>
      </c>
    </row>
    <row r="24" spans="1:6" ht="18" customHeight="1" x14ac:dyDescent="0.25">
      <c r="A24" s="2">
        <v>3</v>
      </c>
      <c r="B24" s="2" t="s">
        <v>99</v>
      </c>
      <c r="C24" s="2" t="s">
        <v>79</v>
      </c>
      <c r="D24" s="2" t="s">
        <v>96</v>
      </c>
      <c r="E24" s="2" t="s">
        <v>97</v>
      </c>
      <c r="F24" s="2" t="s">
        <v>77</v>
      </c>
    </row>
    <row r="25" spans="1:6" ht="18" customHeight="1" x14ac:dyDescent="0.25">
      <c r="A25" s="7">
        <v>4</v>
      </c>
      <c r="B25" s="7" t="s">
        <v>100</v>
      </c>
      <c r="C25" s="7" t="s">
        <v>81</v>
      </c>
      <c r="D25" s="7" t="s">
        <v>101</v>
      </c>
      <c r="E25" s="7" t="s">
        <v>97</v>
      </c>
      <c r="F25" s="7" t="s">
        <v>77</v>
      </c>
    </row>
    <row r="26" spans="1:6" ht="18" customHeight="1" x14ac:dyDescent="0.25">
      <c r="A26" s="2">
        <v>5</v>
      </c>
      <c r="B26" s="2" t="s">
        <v>102</v>
      </c>
      <c r="C26" s="2" t="s">
        <v>82</v>
      </c>
      <c r="D26" s="2" t="s">
        <v>101</v>
      </c>
      <c r="E26" s="2" t="s">
        <v>97</v>
      </c>
      <c r="F26" s="2" t="s">
        <v>77</v>
      </c>
    </row>
    <row r="27" spans="1:6" ht="18" customHeight="1" x14ac:dyDescent="0.25">
      <c r="A27" s="7">
        <v>6</v>
      </c>
      <c r="B27" s="7" t="s">
        <v>103</v>
      </c>
      <c r="C27" s="7" t="s">
        <v>83</v>
      </c>
      <c r="D27" s="7" t="s">
        <v>101</v>
      </c>
      <c r="E27" s="7" t="s">
        <v>97</v>
      </c>
      <c r="F27" s="7" t="s">
        <v>77</v>
      </c>
    </row>
  </sheetData>
  <mergeCells count="4">
    <mergeCell ref="A20:F20"/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07B00"/>
  </sheetPr>
  <dimension ref="A1:Z1000"/>
  <sheetViews>
    <sheetView showGridLines="0" topLeftCell="A13" workbookViewId="0">
      <selection sqref="A1:K1"/>
    </sheetView>
  </sheetViews>
  <sheetFormatPr baseColWidth="10" defaultColWidth="9.140625" defaultRowHeight="15" x14ac:dyDescent="0.25"/>
  <cols>
    <col min="1" max="1" width="13" customWidth="1"/>
    <col min="2" max="2" width="22" customWidth="1"/>
    <col min="3" max="3" width="13" customWidth="1"/>
    <col min="4" max="4" width="18" customWidth="1"/>
    <col min="5" max="5" width="12" customWidth="1"/>
    <col min="7" max="7" width="18" customWidth="1"/>
    <col min="8" max="8" width="16" customWidth="1"/>
    <col min="9" max="9" width="15" customWidth="1"/>
    <col min="10" max="10" width="18" customWidth="1"/>
    <col min="11" max="11" width="25" customWidth="1"/>
    <col min="12" max="12" width="8.7109375" customWidth="1"/>
  </cols>
  <sheetData>
    <row r="1" spans="1:26" ht="30" customHeight="1" x14ac:dyDescent="0.25">
      <c r="A1" s="55" t="s">
        <v>104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9.5" customHeight="1" x14ac:dyDescent="0.25">
      <c r="A2" s="54" t="s">
        <v>105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27.75" customHeight="1" x14ac:dyDescent="0.25">
      <c r="A4" s="51" t="s">
        <v>106</v>
      </c>
      <c r="B4" s="42"/>
      <c r="C4" s="35">
        <v>5000</v>
      </c>
      <c r="D4" s="51" t="s">
        <v>107</v>
      </c>
      <c r="E4" s="42"/>
      <c r="F4" s="35">
        <v>500</v>
      </c>
      <c r="G4" s="52" t="s">
        <v>108</v>
      </c>
      <c r="H4" s="42"/>
      <c r="I4" s="36">
        <f>C4-IFERROR(SUM(F6:F1000),0)+IFERROR(SUM(E6:E1000),0)</f>
        <v>5000</v>
      </c>
      <c r="J4" s="53" t="str">
        <f>IF(I4&lt;=F4,"⚠️ STOCK BAJO - REABASTECER","✅ STOCK OK")</f>
        <v>✅ STOCK OK</v>
      </c>
      <c r="K4" s="42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7.5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30" customHeight="1" x14ac:dyDescent="0.25">
      <c r="A6" s="37" t="s">
        <v>27</v>
      </c>
      <c r="B6" s="37" t="s">
        <v>109</v>
      </c>
      <c r="C6" s="37" t="s">
        <v>46</v>
      </c>
      <c r="D6" s="37" t="s">
        <v>110</v>
      </c>
      <c r="E6" s="37" t="s">
        <v>111</v>
      </c>
      <c r="F6" s="37" t="s">
        <v>112</v>
      </c>
      <c r="G6" s="37" t="s">
        <v>113</v>
      </c>
      <c r="H6" s="37" t="s">
        <v>93</v>
      </c>
      <c r="I6" s="37" t="s">
        <v>114</v>
      </c>
      <c r="J6" s="37" t="s">
        <v>40</v>
      </c>
      <c r="K6" s="37" t="s">
        <v>42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x14ac:dyDescent="0.25">
      <c r="A7" s="38"/>
      <c r="B7" s="39"/>
      <c r="C7" s="39"/>
      <c r="D7" s="39"/>
      <c r="E7" s="40"/>
      <c r="F7" s="40"/>
      <c r="G7" s="41" t="str">
        <f>IF(AND(E7="",F7=""),"",G115+IF(E7="",0,E7)-IF(F7="",0,F7))</f>
        <v/>
      </c>
      <c r="H7" s="39"/>
      <c r="I7" s="39"/>
      <c r="J7" s="39"/>
      <c r="K7" s="39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x14ac:dyDescent="0.25">
      <c r="A8" s="38"/>
      <c r="B8" s="39"/>
      <c r="C8" s="39"/>
      <c r="D8" s="39"/>
      <c r="E8" s="40"/>
      <c r="F8" s="40"/>
      <c r="G8" s="41" t="str">
        <f t="shared" ref="G8:G39" si="0">IF(AND(E8="",F8=""),"",G7+IF(E8="",0,E8)-IF(F8="",0,F8))</f>
        <v/>
      </c>
      <c r="H8" s="39"/>
      <c r="I8" s="39"/>
      <c r="J8" s="39"/>
      <c r="K8" s="39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x14ac:dyDescent="0.25">
      <c r="A9" s="38"/>
      <c r="B9" s="39"/>
      <c r="C9" s="39"/>
      <c r="D9" s="39"/>
      <c r="E9" s="40"/>
      <c r="F9" s="40"/>
      <c r="G9" s="41" t="str">
        <f t="shared" si="0"/>
        <v/>
      </c>
      <c r="H9" s="39"/>
      <c r="I9" s="39"/>
      <c r="J9" s="39"/>
      <c r="K9" s="39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x14ac:dyDescent="0.25">
      <c r="A10" s="38"/>
      <c r="B10" s="39"/>
      <c r="C10" s="39"/>
      <c r="D10" s="39"/>
      <c r="E10" s="40"/>
      <c r="F10" s="40"/>
      <c r="G10" s="41" t="str">
        <f t="shared" si="0"/>
        <v/>
      </c>
      <c r="H10" s="39"/>
      <c r="I10" s="39"/>
      <c r="J10" s="39"/>
      <c r="K10" s="39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x14ac:dyDescent="0.25">
      <c r="A11" s="38"/>
      <c r="B11" s="39"/>
      <c r="C11" s="39"/>
      <c r="D11" s="39"/>
      <c r="E11" s="40"/>
      <c r="F11" s="40"/>
      <c r="G11" s="41" t="str">
        <f t="shared" si="0"/>
        <v/>
      </c>
      <c r="H11" s="39"/>
      <c r="I11" s="39"/>
      <c r="J11" s="39"/>
      <c r="K11" s="39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x14ac:dyDescent="0.25">
      <c r="A12" s="38"/>
      <c r="B12" s="39"/>
      <c r="C12" s="39"/>
      <c r="D12" s="39"/>
      <c r="E12" s="40"/>
      <c r="F12" s="40"/>
      <c r="G12" s="41" t="str">
        <f t="shared" si="0"/>
        <v/>
      </c>
      <c r="H12" s="39"/>
      <c r="I12" s="39"/>
      <c r="J12" s="39"/>
      <c r="K12" s="39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x14ac:dyDescent="0.25">
      <c r="A13" s="38"/>
      <c r="B13" s="39"/>
      <c r="C13" s="39"/>
      <c r="D13" s="39"/>
      <c r="E13" s="40"/>
      <c r="F13" s="40"/>
      <c r="G13" s="41" t="str">
        <f t="shared" si="0"/>
        <v/>
      </c>
      <c r="H13" s="39"/>
      <c r="I13" s="39"/>
      <c r="J13" s="39"/>
      <c r="K13" s="39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x14ac:dyDescent="0.25">
      <c r="A14" s="38"/>
      <c r="B14" s="39"/>
      <c r="C14" s="39"/>
      <c r="D14" s="39"/>
      <c r="E14" s="40"/>
      <c r="F14" s="40"/>
      <c r="G14" s="41" t="str">
        <f t="shared" si="0"/>
        <v/>
      </c>
      <c r="H14" s="39"/>
      <c r="I14" s="39"/>
      <c r="J14" s="39"/>
      <c r="K14" s="39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x14ac:dyDescent="0.25">
      <c r="A15" s="38"/>
      <c r="B15" s="39"/>
      <c r="C15" s="39"/>
      <c r="D15" s="39"/>
      <c r="E15" s="40"/>
      <c r="F15" s="40"/>
      <c r="G15" s="41" t="str">
        <f t="shared" si="0"/>
        <v/>
      </c>
      <c r="H15" s="39"/>
      <c r="I15" s="39"/>
      <c r="J15" s="39"/>
      <c r="K15" s="39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x14ac:dyDescent="0.25">
      <c r="A16" s="38"/>
      <c r="B16" s="39"/>
      <c r="C16" s="39"/>
      <c r="D16" s="39"/>
      <c r="E16" s="40"/>
      <c r="F16" s="40"/>
      <c r="G16" s="41" t="str">
        <f t="shared" si="0"/>
        <v/>
      </c>
      <c r="H16" s="39"/>
      <c r="I16" s="39"/>
      <c r="J16" s="39"/>
      <c r="K16" s="39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x14ac:dyDescent="0.25">
      <c r="A17" s="38"/>
      <c r="B17" s="39"/>
      <c r="C17" s="39"/>
      <c r="D17" s="39"/>
      <c r="E17" s="40"/>
      <c r="F17" s="40"/>
      <c r="G17" s="41" t="str">
        <f t="shared" si="0"/>
        <v/>
      </c>
      <c r="H17" s="39"/>
      <c r="I17" s="39"/>
      <c r="J17" s="39"/>
      <c r="K17" s="39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x14ac:dyDescent="0.25">
      <c r="A18" s="38"/>
      <c r="B18" s="39"/>
      <c r="C18" s="39"/>
      <c r="D18" s="39"/>
      <c r="E18" s="40"/>
      <c r="F18" s="40"/>
      <c r="G18" s="41" t="str">
        <f t="shared" si="0"/>
        <v/>
      </c>
      <c r="H18" s="39"/>
      <c r="I18" s="39"/>
      <c r="J18" s="39"/>
      <c r="K18" s="39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x14ac:dyDescent="0.25">
      <c r="A19" s="38"/>
      <c r="B19" s="39"/>
      <c r="C19" s="39"/>
      <c r="D19" s="39"/>
      <c r="E19" s="40"/>
      <c r="F19" s="40"/>
      <c r="G19" s="41" t="str">
        <f t="shared" si="0"/>
        <v/>
      </c>
      <c r="H19" s="39"/>
      <c r="I19" s="39"/>
      <c r="J19" s="39"/>
      <c r="K19" s="39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5.75" customHeight="1" x14ac:dyDescent="0.25">
      <c r="A20" s="38"/>
      <c r="B20" s="39"/>
      <c r="C20" s="39"/>
      <c r="D20" s="39"/>
      <c r="E20" s="40"/>
      <c r="F20" s="40"/>
      <c r="G20" s="41" t="str">
        <f t="shared" si="0"/>
        <v/>
      </c>
      <c r="H20" s="39"/>
      <c r="I20" s="39"/>
      <c r="J20" s="39"/>
      <c r="K20" s="39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 x14ac:dyDescent="0.25">
      <c r="A21" s="38"/>
      <c r="B21" s="39"/>
      <c r="C21" s="39"/>
      <c r="D21" s="39"/>
      <c r="E21" s="40"/>
      <c r="F21" s="40"/>
      <c r="G21" s="41" t="str">
        <f t="shared" si="0"/>
        <v/>
      </c>
      <c r="H21" s="39"/>
      <c r="I21" s="39"/>
      <c r="J21" s="39"/>
      <c r="K21" s="39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 x14ac:dyDescent="0.25">
      <c r="A22" s="38"/>
      <c r="B22" s="39"/>
      <c r="C22" s="39"/>
      <c r="D22" s="39"/>
      <c r="E22" s="40"/>
      <c r="F22" s="40"/>
      <c r="G22" s="41" t="str">
        <f t="shared" si="0"/>
        <v/>
      </c>
      <c r="H22" s="39"/>
      <c r="I22" s="39"/>
      <c r="J22" s="39"/>
      <c r="K22" s="39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 x14ac:dyDescent="0.25">
      <c r="A23" s="38"/>
      <c r="B23" s="39"/>
      <c r="C23" s="39"/>
      <c r="D23" s="39"/>
      <c r="E23" s="40"/>
      <c r="F23" s="40"/>
      <c r="G23" s="41" t="str">
        <f t="shared" si="0"/>
        <v/>
      </c>
      <c r="H23" s="39"/>
      <c r="I23" s="39"/>
      <c r="J23" s="39"/>
      <c r="K23" s="39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 x14ac:dyDescent="0.25">
      <c r="A24" s="38"/>
      <c r="B24" s="39"/>
      <c r="C24" s="39"/>
      <c r="D24" s="39"/>
      <c r="E24" s="40"/>
      <c r="F24" s="40"/>
      <c r="G24" s="41" t="str">
        <f t="shared" si="0"/>
        <v/>
      </c>
      <c r="H24" s="39"/>
      <c r="I24" s="39"/>
      <c r="J24" s="39"/>
      <c r="K24" s="39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 x14ac:dyDescent="0.25">
      <c r="A25" s="38"/>
      <c r="B25" s="39"/>
      <c r="C25" s="39"/>
      <c r="D25" s="39"/>
      <c r="E25" s="40"/>
      <c r="F25" s="40"/>
      <c r="G25" s="41" t="str">
        <f t="shared" si="0"/>
        <v/>
      </c>
      <c r="H25" s="39"/>
      <c r="I25" s="39"/>
      <c r="J25" s="39"/>
      <c r="K25" s="39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 x14ac:dyDescent="0.25">
      <c r="A26" s="38"/>
      <c r="B26" s="39"/>
      <c r="C26" s="39"/>
      <c r="D26" s="39"/>
      <c r="E26" s="40"/>
      <c r="F26" s="40"/>
      <c r="G26" s="41" t="str">
        <f t="shared" si="0"/>
        <v/>
      </c>
      <c r="H26" s="39"/>
      <c r="I26" s="39"/>
      <c r="J26" s="39"/>
      <c r="K26" s="39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 x14ac:dyDescent="0.25">
      <c r="A27" s="38"/>
      <c r="B27" s="39"/>
      <c r="C27" s="39"/>
      <c r="D27" s="39"/>
      <c r="E27" s="40"/>
      <c r="F27" s="40"/>
      <c r="G27" s="41" t="str">
        <f t="shared" si="0"/>
        <v/>
      </c>
      <c r="H27" s="39"/>
      <c r="I27" s="39"/>
      <c r="J27" s="39"/>
      <c r="K27" s="39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 x14ac:dyDescent="0.25">
      <c r="A28" s="38"/>
      <c r="B28" s="39"/>
      <c r="C28" s="39"/>
      <c r="D28" s="39"/>
      <c r="E28" s="40"/>
      <c r="F28" s="40"/>
      <c r="G28" s="41" t="str">
        <f t="shared" si="0"/>
        <v/>
      </c>
      <c r="H28" s="39"/>
      <c r="I28" s="39"/>
      <c r="J28" s="39"/>
      <c r="K28" s="39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 x14ac:dyDescent="0.25">
      <c r="A29" s="38"/>
      <c r="B29" s="39"/>
      <c r="C29" s="39"/>
      <c r="D29" s="39"/>
      <c r="E29" s="40"/>
      <c r="F29" s="40"/>
      <c r="G29" s="41" t="str">
        <f t="shared" si="0"/>
        <v/>
      </c>
      <c r="H29" s="39"/>
      <c r="I29" s="39"/>
      <c r="J29" s="39"/>
      <c r="K29" s="39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 x14ac:dyDescent="0.25">
      <c r="A30" s="38"/>
      <c r="B30" s="39"/>
      <c r="C30" s="39"/>
      <c r="D30" s="39"/>
      <c r="E30" s="40"/>
      <c r="F30" s="40"/>
      <c r="G30" s="41" t="str">
        <f t="shared" si="0"/>
        <v/>
      </c>
      <c r="H30" s="39"/>
      <c r="I30" s="39"/>
      <c r="J30" s="39"/>
      <c r="K30" s="39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 x14ac:dyDescent="0.25">
      <c r="A31" s="38"/>
      <c r="B31" s="39"/>
      <c r="C31" s="39"/>
      <c r="D31" s="39"/>
      <c r="E31" s="40"/>
      <c r="F31" s="40"/>
      <c r="G31" s="41" t="str">
        <f t="shared" si="0"/>
        <v/>
      </c>
      <c r="H31" s="39"/>
      <c r="I31" s="39"/>
      <c r="J31" s="39"/>
      <c r="K31" s="39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 x14ac:dyDescent="0.25">
      <c r="A32" s="38"/>
      <c r="B32" s="39"/>
      <c r="C32" s="39"/>
      <c r="D32" s="39"/>
      <c r="E32" s="40"/>
      <c r="F32" s="40"/>
      <c r="G32" s="41" t="str">
        <f t="shared" si="0"/>
        <v/>
      </c>
      <c r="H32" s="39"/>
      <c r="I32" s="39"/>
      <c r="J32" s="39"/>
      <c r="K32" s="39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 x14ac:dyDescent="0.25">
      <c r="A33" s="38"/>
      <c r="B33" s="39"/>
      <c r="C33" s="39"/>
      <c r="D33" s="39"/>
      <c r="E33" s="40"/>
      <c r="F33" s="40"/>
      <c r="G33" s="41" t="str">
        <f t="shared" si="0"/>
        <v/>
      </c>
      <c r="H33" s="39"/>
      <c r="I33" s="39"/>
      <c r="J33" s="39"/>
      <c r="K33" s="39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 x14ac:dyDescent="0.25">
      <c r="A34" s="38"/>
      <c r="B34" s="39"/>
      <c r="C34" s="39"/>
      <c r="D34" s="39"/>
      <c r="E34" s="40"/>
      <c r="F34" s="40"/>
      <c r="G34" s="41" t="str">
        <f t="shared" si="0"/>
        <v/>
      </c>
      <c r="H34" s="39"/>
      <c r="I34" s="39"/>
      <c r="J34" s="39"/>
      <c r="K34" s="39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25">
      <c r="A35" s="38"/>
      <c r="B35" s="39"/>
      <c r="C35" s="39"/>
      <c r="D35" s="39"/>
      <c r="E35" s="40"/>
      <c r="F35" s="40"/>
      <c r="G35" s="41" t="str">
        <f t="shared" si="0"/>
        <v/>
      </c>
      <c r="H35" s="39"/>
      <c r="I35" s="39"/>
      <c r="J35" s="39"/>
      <c r="K35" s="39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25">
      <c r="A36" s="38"/>
      <c r="B36" s="39"/>
      <c r="C36" s="39"/>
      <c r="D36" s="39"/>
      <c r="E36" s="40"/>
      <c r="F36" s="40"/>
      <c r="G36" s="41" t="str">
        <f t="shared" si="0"/>
        <v/>
      </c>
      <c r="H36" s="39"/>
      <c r="I36" s="39"/>
      <c r="J36" s="39"/>
      <c r="K36" s="39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25">
      <c r="A37" s="38"/>
      <c r="B37" s="39"/>
      <c r="C37" s="39"/>
      <c r="D37" s="39"/>
      <c r="E37" s="40"/>
      <c r="F37" s="40"/>
      <c r="G37" s="41" t="str">
        <f t="shared" si="0"/>
        <v/>
      </c>
      <c r="H37" s="39"/>
      <c r="I37" s="39"/>
      <c r="J37" s="39"/>
      <c r="K37" s="39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25">
      <c r="A38" s="38"/>
      <c r="B38" s="39"/>
      <c r="C38" s="39"/>
      <c r="D38" s="39"/>
      <c r="E38" s="40"/>
      <c r="F38" s="40"/>
      <c r="G38" s="41" t="str">
        <f t="shared" si="0"/>
        <v/>
      </c>
      <c r="H38" s="39"/>
      <c r="I38" s="39"/>
      <c r="J38" s="39"/>
      <c r="K38" s="39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25">
      <c r="A39" s="38"/>
      <c r="B39" s="39"/>
      <c r="C39" s="39"/>
      <c r="D39" s="39"/>
      <c r="E39" s="40"/>
      <c r="F39" s="40"/>
      <c r="G39" s="41" t="str">
        <f t="shared" si="0"/>
        <v/>
      </c>
      <c r="H39" s="39"/>
      <c r="I39" s="39"/>
      <c r="J39" s="39"/>
      <c r="K39" s="39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25">
      <c r="A40" s="38"/>
      <c r="B40" s="39"/>
      <c r="C40" s="39"/>
      <c r="D40" s="39"/>
      <c r="E40" s="40"/>
      <c r="F40" s="40"/>
      <c r="G40" s="41" t="str">
        <f t="shared" ref="G40:G71" si="1">IF(AND(E40="",F40=""),"",G39+IF(E40="",0,E40)-IF(F40="",0,F40))</f>
        <v/>
      </c>
      <c r="H40" s="39"/>
      <c r="I40" s="39"/>
      <c r="J40" s="39"/>
      <c r="K40" s="39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25">
      <c r="A41" s="38"/>
      <c r="B41" s="39"/>
      <c r="C41" s="39"/>
      <c r="D41" s="39"/>
      <c r="E41" s="40"/>
      <c r="F41" s="40"/>
      <c r="G41" s="41" t="str">
        <f t="shared" si="1"/>
        <v/>
      </c>
      <c r="H41" s="39"/>
      <c r="I41" s="39"/>
      <c r="J41" s="39"/>
      <c r="K41" s="39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25">
      <c r="A42" s="38"/>
      <c r="B42" s="39"/>
      <c r="C42" s="39"/>
      <c r="D42" s="39"/>
      <c r="E42" s="40"/>
      <c r="F42" s="40"/>
      <c r="G42" s="41" t="str">
        <f t="shared" si="1"/>
        <v/>
      </c>
      <c r="H42" s="39"/>
      <c r="I42" s="39"/>
      <c r="J42" s="39"/>
      <c r="K42" s="39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25">
      <c r="A43" s="38"/>
      <c r="B43" s="39"/>
      <c r="C43" s="39"/>
      <c r="D43" s="39"/>
      <c r="E43" s="40"/>
      <c r="F43" s="40"/>
      <c r="G43" s="41" t="str">
        <f t="shared" si="1"/>
        <v/>
      </c>
      <c r="H43" s="39"/>
      <c r="I43" s="39"/>
      <c r="J43" s="39"/>
      <c r="K43" s="39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 x14ac:dyDescent="0.25">
      <c r="A44" s="38"/>
      <c r="B44" s="39"/>
      <c r="C44" s="39"/>
      <c r="D44" s="39"/>
      <c r="E44" s="40"/>
      <c r="F44" s="40"/>
      <c r="G44" s="41" t="str">
        <f t="shared" si="1"/>
        <v/>
      </c>
      <c r="H44" s="39"/>
      <c r="I44" s="39"/>
      <c r="J44" s="39"/>
      <c r="K44" s="39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 x14ac:dyDescent="0.25">
      <c r="A45" s="38"/>
      <c r="B45" s="39"/>
      <c r="C45" s="39"/>
      <c r="D45" s="39"/>
      <c r="E45" s="40"/>
      <c r="F45" s="40"/>
      <c r="G45" s="41" t="str">
        <f t="shared" si="1"/>
        <v/>
      </c>
      <c r="H45" s="39"/>
      <c r="I45" s="39"/>
      <c r="J45" s="39"/>
      <c r="K45" s="39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 x14ac:dyDescent="0.25">
      <c r="A46" s="38"/>
      <c r="B46" s="39"/>
      <c r="C46" s="39"/>
      <c r="D46" s="39"/>
      <c r="E46" s="40"/>
      <c r="F46" s="40"/>
      <c r="G46" s="41" t="str">
        <f t="shared" si="1"/>
        <v/>
      </c>
      <c r="H46" s="39"/>
      <c r="I46" s="39"/>
      <c r="J46" s="39"/>
      <c r="K46" s="39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 x14ac:dyDescent="0.25">
      <c r="A47" s="38"/>
      <c r="B47" s="39"/>
      <c r="C47" s="39"/>
      <c r="D47" s="39"/>
      <c r="E47" s="40"/>
      <c r="F47" s="40"/>
      <c r="G47" s="41" t="str">
        <f t="shared" si="1"/>
        <v/>
      </c>
      <c r="H47" s="39"/>
      <c r="I47" s="39"/>
      <c r="J47" s="39"/>
      <c r="K47" s="39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25">
      <c r="A48" s="38"/>
      <c r="B48" s="39"/>
      <c r="C48" s="39"/>
      <c r="D48" s="39"/>
      <c r="E48" s="40"/>
      <c r="F48" s="40"/>
      <c r="G48" s="41" t="str">
        <f t="shared" si="1"/>
        <v/>
      </c>
      <c r="H48" s="39"/>
      <c r="I48" s="39"/>
      <c r="J48" s="39"/>
      <c r="K48" s="39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25">
      <c r="A49" s="38"/>
      <c r="B49" s="39"/>
      <c r="C49" s="39"/>
      <c r="D49" s="39"/>
      <c r="E49" s="40"/>
      <c r="F49" s="40"/>
      <c r="G49" s="41" t="str">
        <f t="shared" si="1"/>
        <v/>
      </c>
      <c r="H49" s="39"/>
      <c r="I49" s="39"/>
      <c r="J49" s="39"/>
      <c r="K49" s="39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25">
      <c r="A50" s="38"/>
      <c r="B50" s="39"/>
      <c r="C50" s="39"/>
      <c r="D50" s="39"/>
      <c r="E50" s="40"/>
      <c r="F50" s="40"/>
      <c r="G50" s="41" t="str">
        <f t="shared" si="1"/>
        <v/>
      </c>
      <c r="H50" s="39"/>
      <c r="I50" s="39"/>
      <c r="J50" s="39"/>
      <c r="K50" s="39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 x14ac:dyDescent="0.25">
      <c r="A51" s="38"/>
      <c r="B51" s="39"/>
      <c r="C51" s="39"/>
      <c r="D51" s="39"/>
      <c r="E51" s="40"/>
      <c r="F51" s="40"/>
      <c r="G51" s="41" t="str">
        <f t="shared" si="1"/>
        <v/>
      </c>
      <c r="H51" s="39"/>
      <c r="I51" s="39"/>
      <c r="J51" s="39"/>
      <c r="K51" s="39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25">
      <c r="A52" s="38"/>
      <c r="B52" s="39"/>
      <c r="C52" s="39"/>
      <c r="D52" s="39"/>
      <c r="E52" s="40"/>
      <c r="F52" s="40"/>
      <c r="G52" s="41" t="str">
        <f t="shared" si="1"/>
        <v/>
      </c>
      <c r="H52" s="39"/>
      <c r="I52" s="39"/>
      <c r="J52" s="39"/>
      <c r="K52" s="39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 x14ac:dyDescent="0.25">
      <c r="A53" s="38"/>
      <c r="B53" s="39"/>
      <c r="C53" s="39"/>
      <c r="D53" s="39"/>
      <c r="E53" s="40"/>
      <c r="F53" s="40"/>
      <c r="G53" s="41" t="str">
        <f t="shared" si="1"/>
        <v/>
      </c>
      <c r="H53" s="39"/>
      <c r="I53" s="39"/>
      <c r="J53" s="39"/>
      <c r="K53" s="39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25">
      <c r="A54" s="38"/>
      <c r="B54" s="39"/>
      <c r="C54" s="39"/>
      <c r="D54" s="39"/>
      <c r="E54" s="40"/>
      <c r="F54" s="40"/>
      <c r="G54" s="41" t="str">
        <f t="shared" si="1"/>
        <v/>
      </c>
      <c r="H54" s="39"/>
      <c r="I54" s="39"/>
      <c r="J54" s="39"/>
      <c r="K54" s="39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25">
      <c r="A55" s="38"/>
      <c r="B55" s="39"/>
      <c r="C55" s="39"/>
      <c r="D55" s="39"/>
      <c r="E55" s="40"/>
      <c r="F55" s="40"/>
      <c r="G55" s="41" t="str">
        <f t="shared" si="1"/>
        <v/>
      </c>
      <c r="H55" s="39"/>
      <c r="I55" s="39"/>
      <c r="J55" s="39"/>
      <c r="K55" s="39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25">
      <c r="A56" s="38"/>
      <c r="B56" s="39"/>
      <c r="C56" s="39"/>
      <c r="D56" s="39"/>
      <c r="E56" s="40"/>
      <c r="F56" s="40"/>
      <c r="G56" s="41" t="str">
        <f t="shared" si="1"/>
        <v/>
      </c>
      <c r="H56" s="39"/>
      <c r="I56" s="39"/>
      <c r="J56" s="39"/>
      <c r="K56" s="39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25">
      <c r="A57" s="38"/>
      <c r="B57" s="39"/>
      <c r="C57" s="39"/>
      <c r="D57" s="39"/>
      <c r="E57" s="40"/>
      <c r="F57" s="40"/>
      <c r="G57" s="41" t="str">
        <f t="shared" si="1"/>
        <v/>
      </c>
      <c r="H57" s="39"/>
      <c r="I57" s="39"/>
      <c r="J57" s="39"/>
      <c r="K57" s="39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25">
      <c r="A58" s="38"/>
      <c r="B58" s="39"/>
      <c r="C58" s="39"/>
      <c r="D58" s="39"/>
      <c r="E58" s="40"/>
      <c r="F58" s="40"/>
      <c r="G58" s="41" t="str">
        <f t="shared" si="1"/>
        <v/>
      </c>
      <c r="H58" s="39"/>
      <c r="I58" s="39"/>
      <c r="J58" s="39"/>
      <c r="K58" s="39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25">
      <c r="A59" s="38"/>
      <c r="B59" s="39"/>
      <c r="C59" s="39"/>
      <c r="D59" s="39"/>
      <c r="E59" s="40"/>
      <c r="F59" s="40"/>
      <c r="G59" s="41" t="str">
        <f t="shared" si="1"/>
        <v/>
      </c>
      <c r="H59" s="39"/>
      <c r="I59" s="39"/>
      <c r="J59" s="39"/>
      <c r="K59" s="39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25">
      <c r="A60" s="38"/>
      <c r="B60" s="39"/>
      <c r="C60" s="39"/>
      <c r="D60" s="39"/>
      <c r="E60" s="40"/>
      <c r="F60" s="40"/>
      <c r="G60" s="41" t="str">
        <f t="shared" si="1"/>
        <v/>
      </c>
      <c r="H60" s="39"/>
      <c r="I60" s="39"/>
      <c r="J60" s="39"/>
      <c r="K60" s="39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 x14ac:dyDescent="0.25">
      <c r="A61" s="38"/>
      <c r="B61" s="39"/>
      <c r="C61" s="39"/>
      <c r="D61" s="39"/>
      <c r="E61" s="40"/>
      <c r="F61" s="40"/>
      <c r="G61" s="41" t="str">
        <f t="shared" si="1"/>
        <v/>
      </c>
      <c r="H61" s="39"/>
      <c r="I61" s="39"/>
      <c r="J61" s="39"/>
      <c r="K61" s="39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 x14ac:dyDescent="0.25">
      <c r="A62" s="38"/>
      <c r="B62" s="39"/>
      <c r="C62" s="39"/>
      <c r="D62" s="39"/>
      <c r="E62" s="40"/>
      <c r="F62" s="40"/>
      <c r="G62" s="41" t="str">
        <f t="shared" si="1"/>
        <v/>
      </c>
      <c r="H62" s="39"/>
      <c r="I62" s="39"/>
      <c r="J62" s="39"/>
      <c r="K62" s="39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 x14ac:dyDescent="0.25">
      <c r="A63" s="38"/>
      <c r="B63" s="39"/>
      <c r="C63" s="39"/>
      <c r="D63" s="39"/>
      <c r="E63" s="40"/>
      <c r="F63" s="40"/>
      <c r="G63" s="41" t="str">
        <f t="shared" si="1"/>
        <v/>
      </c>
      <c r="H63" s="39"/>
      <c r="I63" s="39"/>
      <c r="J63" s="39"/>
      <c r="K63" s="39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 x14ac:dyDescent="0.25">
      <c r="A64" s="38"/>
      <c r="B64" s="39"/>
      <c r="C64" s="39"/>
      <c r="D64" s="39"/>
      <c r="E64" s="40"/>
      <c r="F64" s="40"/>
      <c r="G64" s="41" t="str">
        <f t="shared" si="1"/>
        <v/>
      </c>
      <c r="H64" s="39"/>
      <c r="I64" s="39"/>
      <c r="J64" s="39"/>
      <c r="K64" s="39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25">
      <c r="A65" s="38"/>
      <c r="B65" s="39"/>
      <c r="C65" s="39"/>
      <c r="D65" s="39"/>
      <c r="E65" s="40"/>
      <c r="F65" s="40"/>
      <c r="G65" s="41" t="str">
        <f t="shared" si="1"/>
        <v/>
      </c>
      <c r="H65" s="39"/>
      <c r="I65" s="39"/>
      <c r="J65" s="39"/>
      <c r="K65" s="39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25">
      <c r="A66" s="38"/>
      <c r="B66" s="39"/>
      <c r="C66" s="39"/>
      <c r="D66" s="39"/>
      <c r="E66" s="40"/>
      <c r="F66" s="40"/>
      <c r="G66" s="41" t="str">
        <f t="shared" si="1"/>
        <v/>
      </c>
      <c r="H66" s="39"/>
      <c r="I66" s="39"/>
      <c r="J66" s="39"/>
      <c r="K66" s="39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25">
      <c r="A67" s="38"/>
      <c r="B67" s="39"/>
      <c r="C67" s="39"/>
      <c r="D67" s="39"/>
      <c r="E67" s="40"/>
      <c r="F67" s="40"/>
      <c r="G67" s="41" t="str">
        <f t="shared" si="1"/>
        <v/>
      </c>
      <c r="H67" s="39"/>
      <c r="I67" s="39"/>
      <c r="J67" s="39"/>
      <c r="K67" s="39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25">
      <c r="A68" s="38"/>
      <c r="B68" s="39"/>
      <c r="C68" s="39"/>
      <c r="D68" s="39"/>
      <c r="E68" s="40"/>
      <c r="F68" s="40"/>
      <c r="G68" s="41" t="str">
        <f t="shared" si="1"/>
        <v/>
      </c>
      <c r="H68" s="39"/>
      <c r="I68" s="39"/>
      <c r="J68" s="39"/>
      <c r="K68" s="39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 x14ac:dyDescent="0.25">
      <c r="A69" s="38"/>
      <c r="B69" s="39"/>
      <c r="C69" s="39"/>
      <c r="D69" s="39"/>
      <c r="E69" s="40"/>
      <c r="F69" s="40"/>
      <c r="G69" s="41" t="str">
        <f t="shared" si="1"/>
        <v/>
      </c>
      <c r="H69" s="39"/>
      <c r="I69" s="39"/>
      <c r="J69" s="39"/>
      <c r="K69" s="39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 x14ac:dyDescent="0.25">
      <c r="A70" s="38"/>
      <c r="B70" s="39"/>
      <c r="C70" s="39"/>
      <c r="D70" s="39"/>
      <c r="E70" s="40"/>
      <c r="F70" s="40"/>
      <c r="G70" s="41" t="str">
        <f t="shared" si="1"/>
        <v/>
      </c>
      <c r="H70" s="39"/>
      <c r="I70" s="39"/>
      <c r="J70" s="39"/>
      <c r="K70" s="39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25">
      <c r="A71" s="38"/>
      <c r="B71" s="39"/>
      <c r="C71" s="39"/>
      <c r="D71" s="39"/>
      <c r="E71" s="40"/>
      <c r="F71" s="40"/>
      <c r="G71" s="41" t="str">
        <f t="shared" si="1"/>
        <v/>
      </c>
      <c r="H71" s="39"/>
      <c r="I71" s="39"/>
      <c r="J71" s="39"/>
      <c r="K71" s="39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25">
      <c r="A72" s="38"/>
      <c r="B72" s="39"/>
      <c r="C72" s="39"/>
      <c r="D72" s="39"/>
      <c r="E72" s="40"/>
      <c r="F72" s="40"/>
      <c r="G72" s="41" t="str">
        <f t="shared" ref="G72:G103" si="2">IF(AND(E72="",F72=""),"",G71+IF(E72="",0,E72)-IF(F72="",0,F72))</f>
        <v/>
      </c>
      <c r="H72" s="39"/>
      <c r="I72" s="39"/>
      <c r="J72" s="39"/>
      <c r="K72" s="39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25">
      <c r="A73" s="38"/>
      <c r="B73" s="39"/>
      <c r="C73" s="39"/>
      <c r="D73" s="39"/>
      <c r="E73" s="40"/>
      <c r="F73" s="40"/>
      <c r="G73" s="41" t="str">
        <f t="shared" si="2"/>
        <v/>
      </c>
      <c r="H73" s="39"/>
      <c r="I73" s="39"/>
      <c r="J73" s="39"/>
      <c r="K73" s="39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25">
      <c r="A74" s="38"/>
      <c r="B74" s="39"/>
      <c r="C74" s="39"/>
      <c r="D74" s="39"/>
      <c r="E74" s="40"/>
      <c r="F74" s="40"/>
      <c r="G74" s="41" t="str">
        <f t="shared" si="2"/>
        <v/>
      </c>
      <c r="H74" s="39"/>
      <c r="I74" s="39"/>
      <c r="J74" s="39"/>
      <c r="K74" s="39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25">
      <c r="A75" s="38"/>
      <c r="B75" s="39"/>
      <c r="C75" s="39"/>
      <c r="D75" s="39"/>
      <c r="E75" s="40"/>
      <c r="F75" s="40"/>
      <c r="G75" s="41" t="str">
        <f t="shared" si="2"/>
        <v/>
      </c>
      <c r="H75" s="39"/>
      <c r="I75" s="39"/>
      <c r="J75" s="39"/>
      <c r="K75" s="39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25">
      <c r="A76" s="38"/>
      <c r="B76" s="39"/>
      <c r="C76" s="39"/>
      <c r="D76" s="39"/>
      <c r="E76" s="40"/>
      <c r="F76" s="40"/>
      <c r="G76" s="41" t="str">
        <f t="shared" si="2"/>
        <v/>
      </c>
      <c r="H76" s="39"/>
      <c r="I76" s="39"/>
      <c r="J76" s="39"/>
      <c r="K76" s="39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25">
      <c r="A77" s="38"/>
      <c r="B77" s="39"/>
      <c r="C77" s="39"/>
      <c r="D77" s="39"/>
      <c r="E77" s="40"/>
      <c r="F77" s="40"/>
      <c r="G77" s="41" t="str">
        <f t="shared" si="2"/>
        <v/>
      </c>
      <c r="H77" s="39"/>
      <c r="I77" s="39"/>
      <c r="J77" s="39"/>
      <c r="K77" s="39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25">
      <c r="A78" s="38"/>
      <c r="B78" s="39"/>
      <c r="C78" s="39"/>
      <c r="D78" s="39"/>
      <c r="E78" s="40"/>
      <c r="F78" s="40"/>
      <c r="G78" s="41" t="str">
        <f t="shared" si="2"/>
        <v/>
      </c>
      <c r="H78" s="39"/>
      <c r="I78" s="39"/>
      <c r="J78" s="39"/>
      <c r="K78" s="39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25">
      <c r="A79" s="38"/>
      <c r="B79" s="39"/>
      <c r="C79" s="39"/>
      <c r="D79" s="39"/>
      <c r="E79" s="40"/>
      <c r="F79" s="40"/>
      <c r="G79" s="41" t="str">
        <f t="shared" si="2"/>
        <v/>
      </c>
      <c r="H79" s="39"/>
      <c r="I79" s="39"/>
      <c r="J79" s="39"/>
      <c r="K79" s="39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25">
      <c r="A80" s="38"/>
      <c r="B80" s="39"/>
      <c r="C80" s="39"/>
      <c r="D80" s="39"/>
      <c r="E80" s="40"/>
      <c r="F80" s="40"/>
      <c r="G80" s="41" t="str">
        <f t="shared" si="2"/>
        <v/>
      </c>
      <c r="H80" s="39"/>
      <c r="I80" s="39"/>
      <c r="J80" s="39"/>
      <c r="K80" s="39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25">
      <c r="A81" s="38"/>
      <c r="B81" s="39"/>
      <c r="C81" s="39"/>
      <c r="D81" s="39"/>
      <c r="E81" s="40"/>
      <c r="F81" s="40"/>
      <c r="G81" s="41" t="str">
        <f t="shared" si="2"/>
        <v/>
      </c>
      <c r="H81" s="39"/>
      <c r="I81" s="39"/>
      <c r="J81" s="39"/>
      <c r="K81" s="39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25">
      <c r="A82" s="38"/>
      <c r="B82" s="39"/>
      <c r="C82" s="39"/>
      <c r="D82" s="39"/>
      <c r="E82" s="40"/>
      <c r="F82" s="40"/>
      <c r="G82" s="41" t="str">
        <f t="shared" si="2"/>
        <v/>
      </c>
      <c r="H82" s="39"/>
      <c r="I82" s="39"/>
      <c r="J82" s="39"/>
      <c r="K82" s="39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25">
      <c r="A83" s="38"/>
      <c r="B83" s="39"/>
      <c r="C83" s="39"/>
      <c r="D83" s="39"/>
      <c r="E83" s="40"/>
      <c r="F83" s="40"/>
      <c r="G83" s="41" t="str">
        <f t="shared" si="2"/>
        <v/>
      </c>
      <c r="H83" s="39"/>
      <c r="I83" s="39"/>
      <c r="J83" s="39"/>
      <c r="K83" s="39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25">
      <c r="A84" s="38"/>
      <c r="B84" s="39"/>
      <c r="C84" s="39"/>
      <c r="D84" s="39"/>
      <c r="E84" s="40"/>
      <c r="F84" s="40"/>
      <c r="G84" s="41" t="str">
        <f t="shared" si="2"/>
        <v/>
      </c>
      <c r="H84" s="39"/>
      <c r="I84" s="39"/>
      <c r="J84" s="39"/>
      <c r="K84" s="39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25">
      <c r="A85" s="38"/>
      <c r="B85" s="39"/>
      <c r="C85" s="39"/>
      <c r="D85" s="39"/>
      <c r="E85" s="40"/>
      <c r="F85" s="40"/>
      <c r="G85" s="41" t="str">
        <f t="shared" si="2"/>
        <v/>
      </c>
      <c r="H85" s="39"/>
      <c r="I85" s="39"/>
      <c r="J85" s="39"/>
      <c r="K85" s="39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25">
      <c r="A86" s="38"/>
      <c r="B86" s="39"/>
      <c r="C86" s="39"/>
      <c r="D86" s="39"/>
      <c r="E86" s="40"/>
      <c r="F86" s="40"/>
      <c r="G86" s="41" t="str">
        <f t="shared" si="2"/>
        <v/>
      </c>
      <c r="H86" s="39"/>
      <c r="I86" s="39"/>
      <c r="J86" s="39"/>
      <c r="K86" s="39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25">
      <c r="A87" s="38"/>
      <c r="B87" s="39"/>
      <c r="C87" s="39"/>
      <c r="D87" s="39"/>
      <c r="E87" s="40"/>
      <c r="F87" s="40"/>
      <c r="G87" s="41" t="str">
        <f t="shared" si="2"/>
        <v/>
      </c>
      <c r="H87" s="39"/>
      <c r="I87" s="39"/>
      <c r="J87" s="39"/>
      <c r="K87" s="39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25">
      <c r="A88" s="38"/>
      <c r="B88" s="39"/>
      <c r="C88" s="39"/>
      <c r="D88" s="39"/>
      <c r="E88" s="40"/>
      <c r="F88" s="40"/>
      <c r="G88" s="41" t="str">
        <f t="shared" si="2"/>
        <v/>
      </c>
      <c r="H88" s="39"/>
      <c r="I88" s="39"/>
      <c r="J88" s="39"/>
      <c r="K88" s="39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25">
      <c r="A89" s="38"/>
      <c r="B89" s="39"/>
      <c r="C89" s="39"/>
      <c r="D89" s="39"/>
      <c r="E89" s="40"/>
      <c r="F89" s="40"/>
      <c r="G89" s="41" t="str">
        <f t="shared" si="2"/>
        <v/>
      </c>
      <c r="H89" s="39"/>
      <c r="I89" s="39"/>
      <c r="J89" s="39"/>
      <c r="K89" s="39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25">
      <c r="A90" s="38"/>
      <c r="B90" s="39"/>
      <c r="C90" s="39"/>
      <c r="D90" s="39"/>
      <c r="E90" s="40"/>
      <c r="F90" s="40"/>
      <c r="G90" s="41" t="str">
        <f t="shared" si="2"/>
        <v/>
      </c>
      <c r="H90" s="39"/>
      <c r="I90" s="39"/>
      <c r="J90" s="39"/>
      <c r="K90" s="39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25">
      <c r="A91" s="38"/>
      <c r="B91" s="39"/>
      <c r="C91" s="39"/>
      <c r="D91" s="39"/>
      <c r="E91" s="40"/>
      <c r="F91" s="40"/>
      <c r="G91" s="41" t="str">
        <f t="shared" si="2"/>
        <v/>
      </c>
      <c r="H91" s="39"/>
      <c r="I91" s="39"/>
      <c r="J91" s="39"/>
      <c r="K91" s="39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25">
      <c r="A92" s="38"/>
      <c r="B92" s="39"/>
      <c r="C92" s="39"/>
      <c r="D92" s="39"/>
      <c r="E92" s="40"/>
      <c r="F92" s="40"/>
      <c r="G92" s="41" t="str">
        <f t="shared" si="2"/>
        <v/>
      </c>
      <c r="H92" s="39"/>
      <c r="I92" s="39"/>
      <c r="J92" s="39"/>
      <c r="K92" s="39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25">
      <c r="A93" s="38"/>
      <c r="B93" s="39"/>
      <c r="C93" s="39"/>
      <c r="D93" s="39"/>
      <c r="E93" s="40"/>
      <c r="F93" s="40"/>
      <c r="G93" s="41" t="str">
        <f t="shared" si="2"/>
        <v/>
      </c>
      <c r="H93" s="39"/>
      <c r="I93" s="39"/>
      <c r="J93" s="39"/>
      <c r="K93" s="39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25">
      <c r="A94" s="38"/>
      <c r="B94" s="39"/>
      <c r="C94" s="39"/>
      <c r="D94" s="39"/>
      <c r="E94" s="40"/>
      <c r="F94" s="40"/>
      <c r="G94" s="41" t="str">
        <f t="shared" si="2"/>
        <v/>
      </c>
      <c r="H94" s="39"/>
      <c r="I94" s="39"/>
      <c r="J94" s="39"/>
      <c r="K94" s="39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25">
      <c r="A95" s="38"/>
      <c r="B95" s="39"/>
      <c r="C95" s="39"/>
      <c r="D95" s="39"/>
      <c r="E95" s="40"/>
      <c r="F95" s="40"/>
      <c r="G95" s="41" t="str">
        <f t="shared" si="2"/>
        <v/>
      </c>
      <c r="H95" s="39"/>
      <c r="I95" s="39"/>
      <c r="J95" s="39"/>
      <c r="K95" s="39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25">
      <c r="A96" s="38"/>
      <c r="B96" s="39"/>
      <c r="C96" s="39"/>
      <c r="D96" s="39"/>
      <c r="E96" s="40"/>
      <c r="F96" s="40"/>
      <c r="G96" s="41" t="str">
        <f t="shared" si="2"/>
        <v/>
      </c>
      <c r="H96" s="39"/>
      <c r="I96" s="39"/>
      <c r="J96" s="39"/>
      <c r="K96" s="39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25">
      <c r="A97" s="38"/>
      <c r="B97" s="39"/>
      <c r="C97" s="39"/>
      <c r="D97" s="39"/>
      <c r="E97" s="40"/>
      <c r="F97" s="40"/>
      <c r="G97" s="41" t="str">
        <f t="shared" si="2"/>
        <v/>
      </c>
      <c r="H97" s="39"/>
      <c r="I97" s="39"/>
      <c r="J97" s="39"/>
      <c r="K97" s="39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25">
      <c r="A98" s="38"/>
      <c r="B98" s="39"/>
      <c r="C98" s="39"/>
      <c r="D98" s="39"/>
      <c r="E98" s="40"/>
      <c r="F98" s="40"/>
      <c r="G98" s="41" t="str">
        <f t="shared" si="2"/>
        <v/>
      </c>
      <c r="H98" s="39"/>
      <c r="I98" s="39"/>
      <c r="J98" s="39"/>
      <c r="K98" s="39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25">
      <c r="A99" s="38"/>
      <c r="B99" s="39"/>
      <c r="C99" s="39"/>
      <c r="D99" s="39"/>
      <c r="E99" s="40"/>
      <c r="F99" s="40"/>
      <c r="G99" s="41" t="str">
        <f t="shared" si="2"/>
        <v/>
      </c>
      <c r="H99" s="39"/>
      <c r="I99" s="39"/>
      <c r="J99" s="39"/>
      <c r="K99" s="39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25">
      <c r="A100" s="38"/>
      <c r="B100" s="39"/>
      <c r="C100" s="39"/>
      <c r="D100" s="39"/>
      <c r="E100" s="40"/>
      <c r="F100" s="40"/>
      <c r="G100" s="41" t="str">
        <f t="shared" si="2"/>
        <v/>
      </c>
      <c r="H100" s="39"/>
      <c r="I100" s="39"/>
      <c r="J100" s="39"/>
      <c r="K100" s="39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25">
      <c r="A101" s="38"/>
      <c r="B101" s="39"/>
      <c r="C101" s="39"/>
      <c r="D101" s="39"/>
      <c r="E101" s="40"/>
      <c r="F101" s="40"/>
      <c r="G101" s="41" t="str">
        <f t="shared" si="2"/>
        <v/>
      </c>
      <c r="H101" s="39"/>
      <c r="I101" s="39"/>
      <c r="J101" s="39"/>
      <c r="K101" s="39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25">
      <c r="A102" s="38"/>
      <c r="B102" s="39"/>
      <c r="C102" s="39"/>
      <c r="D102" s="39"/>
      <c r="E102" s="40"/>
      <c r="F102" s="40"/>
      <c r="G102" s="41" t="str">
        <f t="shared" si="2"/>
        <v/>
      </c>
      <c r="H102" s="39"/>
      <c r="I102" s="39"/>
      <c r="J102" s="39"/>
      <c r="K102" s="39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25">
      <c r="A103" s="38"/>
      <c r="B103" s="39"/>
      <c r="C103" s="39"/>
      <c r="D103" s="39"/>
      <c r="E103" s="40"/>
      <c r="F103" s="40"/>
      <c r="G103" s="41" t="str">
        <f t="shared" si="2"/>
        <v/>
      </c>
      <c r="H103" s="39"/>
      <c r="I103" s="39"/>
      <c r="J103" s="39"/>
      <c r="K103" s="39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25">
      <c r="A104" s="38"/>
      <c r="B104" s="39"/>
      <c r="C104" s="39"/>
      <c r="D104" s="39"/>
      <c r="E104" s="40"/>
      <c r="F104" s="40"/>
      <c r="G104" s="41" t="str">
        <f t="shared" ref="G104:G135" si="3">IF(AND(E104="",F104=""),"",G103+IF(E104="",0,E104)-IF(F104="",0,F104))</f>
        <v/>
      </c>
      <c r="H104" s="39"/>
      <c r="I104" s="39"/>
      <c r="J104" s="39"/>
      <c r="K104" s="39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25">
      <c r="A105" s="38"/>
      <c r="B105" s="39"/>
      <c r="C105" s="39"/>
      <c r="D105" s="39"/>
      <c r="E105" s="40"/>
      <c r="F105" s="40"/>
      <c r="G105" s="41" t="str">
        <f t="shared" si="3"/>
        <v/>
      </c>
      <c r="H105" s="39"/>
      <c r="I105" s="39"/>
      <c r="J105" s="39"/>
      <c r="K105" s="39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25">
      <c r="A106" s="38"/>
      <c r="B106" s="39"/>
      <c r="C106" s="39"/>
      <c r="D106" s="39"/>
      <c r="E106" s="40"/>
      <c r="F106" s="40"/>
      <c r="G106" s="41" t="str">
        <f t="shared" si="3"/>
        <v/>
      </c>
      <c r="H106" s="39"/>
      <c r="I106" s="39"/>
      <c r="J106" s="39"/>
      <c r="K106" s="39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25">
      <c r="A107" s="38"/>
      <c r="B107" s="39"/>
      <c r="C107" s="39"/>
      <c r="D107" s="39"/>
      <c r="E107" s="40"/>
      <c r="F107" s="40"/>
      <c r="G107" s="41" t="str">
        <f t="shared" si="3"/>
        <v/>
      </c>
      <c r="H107" s="39"/>
      <c r="I107" s="39"/>
      <c r="J107" s="39"/>
      <c r="K107" s="39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25">
      <c r="A108" s="38"/>
      <c r="B108" s="39"/>
      <c r="C108" s="39"/>
      <c r="D108" s="39"/>
      <c r="E108" s="40"/>
      <c r="F108" s="40"/>
      <c r="G108" s="41" t="str">
        <f t="shared" si="3"/>
        <v/>
      </c>
      <c r="H108" s="39"/>
      <c r="I108" s="39"/>
      <c r="J108" s="39"/>
      <c r="K108" s="39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25">
      <c r="A109" s="38"/>
      <c r="B109" s="39"/>
      <c r="C109" s="39"/>
      <c r="D109" s="39"/>
      <c r="E109" s="40"/>
      <c r="F109" s="40"/>
      <c r="G109" s="41" t="str">
        <f t="shared" si="3"/>
        <v/>
      </c>
      <c r="H109" s="39"/>
      <c r="I109" s="39"/>
      <c r="J109" s="39"/>
      <c r="K109" s="39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25">
      <c r="A110" s="38"/>
      <c r="B110" s="39"/>
      <c r="C110" s="39"/>
      <c r="D110" s="39"/>
      <c r="E110" s="40"/>
      <c r="F110" s="40"/>
      <c r="G110" s="41" t="str">
        <f t="shared" si="3"/>
        <v/>
      </c>
      <c r="H110" s="39"/>
      <c r="I110" s="39"/>
      <c r="J110" s="39"/>
      <c r="K110" s="39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25">
      <c r="A111" s="38"/>
      <c r="B111" s="39"/>
      <c r="C111" s="39"/>
      <c r="D111" s="39"/>
      <c r="E111" s="40"/>
      <c r="F111" s="40"/>
      <c r="G111" s="41" t="str">
        <f t="shared" si="3"/>
        <v/>
      </c>
      <c r="H111" s="39"/>
      <c r="I111" s="39"/>
      <c r="J111" s="39"/>
      <c r="K111" s="39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25">
      <c r="A112" s="38"/>
      <c r="B112" s="39"/>
      <c r="C112" s="39"/>
      <c r="D112" s="39"/>
      <c r="E112" s="40"/>
      <c r="F112" s="40"/>
      <c r="G112" s="41" t="str">
        <f t="shared" si="3"/>
        <v/>
      </c>
      <c r="H112" s="39"/>
      <c r="I112" s="39"/>
      <c r="J112" s="39"/>
      <c r="K112" s="39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25">
      <c r="A113" s="38"/>
      <c r="B113" s="39"/>
      <c r="C113" s="39"/>
      <c r="D113" s="39"/>
      <c r="E113" s="40"/>
      <c r="F113" s="40"/>
      <c r="G113" s="41" t="str">
        <f t="shared" si="3"/>
        <v/>
      </c>
      <c r="H113" s="39"/>
      <c r="I113" s="39"/>
      <c r="J113" s="39"/>
      <c r="K113" s="39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25">
      <c r="A114" s="38"/>
      <c r="B114" s="39"/>
      <c r="C114" s="39"/>
      <c r="D114" s="39"/>
      <c r="E114" s="40"/>
      <c r="F114" s="40"/>
      <c r="G114" s="41" t="str">
        <f t="shared" si="3"/>
        <v/>
      </c>
      <c r="H114" s="39"/>
      <c r="I114" s="39"/>
      <c r="J114" s="39"/>
      <c r="K114" s="39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x14ac:dyDescent="0.25">
      <c r="A115" s="38"/>
      <c r="B115" s="39"/>
      <c r="C115" s="39"/>
      <c r="D115" s="39"/>
      <c r="E115" s="40"/>
      <c r="F115" s="40"/>
      <c r="G115" s="41">
        <f>C4+IF(E115="",0,E115)-IF(F115="",0,F115)</f>
        <v>5000</v>
      </c>
      <c r="H115" s="39"/>
      <c r="I115" s="39"/>
      <c r="J115" s="39"/>
      <c r="K115" s="39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25">
      <c r="A116" s="38"/>
      <c r="B116" s="39"/>
      <c r="C116" s="39"/>
      <c r="D116" s="39"/>
      <c r="E116" s="40"/>
      <c r="F116" s="40"/>
      <c r="G116" s="41" t="str">
        <f>IF(AND(E116="",F116=""),"",G114+IF(E116="",0,E116)-IF(F116="",0,F116))</f>
        <v/>
      </c>
      <c r="H116" s="39"/>
      <c r="I116" s="39"/>
      <c r="J116" s="39"/>
      <c r="K116" s="39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25">
      <c r="A117" s="38"/>
      <c r="B117" s="39"/>
      <c r="C117" s="39"/>
      <c r="D117" s="39"/>
      <c r="E117" s="40"/>
      <c r="F117" s="40"/>
      <c r="G117" s="41" t="str">
        <f t="shared" ref="G117:G148" si="4">IF(AND(E117="",F117=""),"",G116+IF(E117="",0,E117)-IF(F117="",0,F117))</f>
        <v/>
      </c>
      <c r="H117" s="39"/>
      <c r="I117" s="39"/>
      <c r="J117" s="39"/>
      <c r="K117" s="39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25">
      <c r="A118" s="38"/>
      <c r="B118" s="39"/>
      <c r="C118" s="39"/>
      <c r="D118" s="39"/>
      <c r="E118" s="40"/>
      <c r="F118" s="40"/>
      <c r="G118" s="41" t="str">
        <f t="shared" si="4"/>
        <v/>
      </c>
      <c r="H118" s="39"/>
      <c r="I118" s="39"/>
      <c r="J118" s="39"/>
      <c r="K118" s="39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25">
      <c r="A119" s="38"/>
      <c r="B119" s="39"/>
      <c r="C119" s="39"/>
      <c r="D119" s="39"/>
      <c r="E119" s="40"/>
      <c r="F119" s="40"/>
      <c r="G119" s="41" t="str">
        <f t="shared" si="4"/>
        <v/>
      </c>
      <c r="H119" s="39"/>
      <c r="I119" s="39"/>
      <c r="J119" s="39"/>
      <c r="K119" s="39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25">
      <c r="A120" s="38"/>
      <c r="B120" s="39"/>
      <c r="C120" s="39"/>
      <c r="D120" s="39"/>
      <c r="E120" s="40"/>
      <c r="F120" s="40"/>
      <c r="G120" s="41" t="str">
        <f t="shared" si="4"/>
        <v/>
      </c>
      <c r="H120" s="39"/>
      <c r="I120" s="39"/>
      <c r="J120" s="39"/>
      <c r="K120" s="39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25">
      <c r="A121" s="38"/>
      <c r="B121" s="39"/>
      <c r="C121" s="39"/>
      <c r="D121" s="39"/>
      <c r="E121" s="40"/>
      <c r="F121" s="40"/>
      <c r="G121" s="41" t="str">
        <f t="shared" si="4"/>
        <v/>
      </c>
      <c r="H121" s="39"/>
      <c r="I121" s="39"/>
      <c r="J121" s="39"/>
      <c r="K121" s="39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25">
      <c r="A122" s="38"/>
      <c r="B122" s="39"/>
      <c r="C122" s="39"/>
      <c r="D122" s="39"/>
      <c r="E122" s="40"/>
      <c r="F122" s="40"/>
      <c r="G122" s="41" t="str">
        <f t="shared" si="4"/>
        <v/>
      </c>
      <c r="H122" s="39"/>
      <c r="I122" s="39"/>
      <c r="J122" s="39"/>
      <c r="K122" s="39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25">
      <c r="A123" s="38"/>
      <c r="B123" s="39"/>
      <c r="C123" s="39"/>
      <c r="D123" s="39"/>
      <c r="E123" s="40"/>
      <c r="F123" s="40"/>
      <c r="G123" s="41" t="str">
        <f t="shared" si="4"/>
        <v/>
      </c>
      <c r="H123" s="39"/>
      <c r="I123" s="39"/>
      <c r="J123" s="39"/>
      <c r="K123" s="39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25">
      <c r="A124" s="38"/>
      <c r="B124" s="39"/>
      <c r="C124" s="39"/>
      <c r="D124" s="39"/>
      <c r="E124" s="40"/>
      <c r="F124" s="40"/>
      <c r="G124" s="41" t="str">
        <f t="shared" si="4"/>
        <v/>
      </c>
      <c r="H124" s="39"/>
      <c r="I124" s="39"/>
      <c r="J124" s="39"/>
      <c r="K124" s="39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25">
      <c r="A125" s="38"/>
      <c r="B125" s="39"/>
      <c r="C125" s="39"/>
      <c r="D125" s="39"/>
      <c r="E125" s="40"/>
      <c r="F125" s="40"/>
      <c r="G125" s="41" t="str">
        <f t="shared" si="4"/>
        <v/>
      </c>
      <c r="H125" s="39"/>
      <c r="I125" s="39"/>
      <c r="J125" s="39"/>
      <c r="K125" s="39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25">
      <c r="A126" s="38"/>
      <c r="B126" s="39"/>
      <c r="C126" s="39"/>
      <c r="D126" s="39"/>
      <c r="E126" s="40"/>
      <c r="F126" s="40"/>
      <c r="G126" s="41" t="str">
        <f t="shared" si="4"/>
        <v/>
      </c>
      <c r="H126" s="39"/>
      <c r="I126" s="39"/>
      <c r="J126" s="39"/>
      <c r="K126" s="39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25">
      <c r="A127" s="38"/>
      <c r="B127" s="39"/>
      <c r="C127" s="39"/>
      <c r="D127" s="39"/>
      <c r="E127" s="40"/>
      <c r="F127" s="40"/>
      <c r="G127" s="41" t="str">
        <f t="shared" si="4"/>
        <v/>
      </c>
      <c r="H127" s="39"/>
      <c r="I127" s="39"/>
      <c r="J127" s="39"/>
      <c r="K127" s="39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25">
      <c r="A128" s="38"/>
      <c r="B128" s="39"/>
      <c r="C128" s="39"/>
      <c r="D128" s="39"/>
      <c r="E128" s="40"/>
      <c r="F128" s="40"/>
      <c r="G128" s="41" t="str">
        <f t="shared" si="4"/>
        <v/>
      </c>
      <c r="H128" s="39"/>
      <c r="I128" s="39"/>
      <c r="J128" s="39"/>
      <c r="K128" s="39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25">
      <c r="A129" s="38"/>
      <c r="B129" s="39"/>
      <c r="C129" s="39"/>
      <c r="D129" s="39"/>
      <c r="E129" s="40"/>
      <c r="F129" s="40"/>
      <c r="G129" s="41" t="str">
        <f t="shared" si="4"/>
        <v/>
      </c>
      <c r="H129" s="39"/>
      <c r="I129" s="39"/>
      <c r="J129" s="39"/>
      <c r="K129" s="39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25">
      <c r="A130" s="38"/>
      <c r="B130" s="39"/>
      <c r="C130" s="39"/>
      <c r="D130" s="39"/>
      <c r="E130" s="40"/>
      <c r="F130" s="40"/>
      <c r="G130" s="41" t="str">
        <f t="shared" si="4"/>
        <v/>
      </c>
      <c r="H130" s="39"/>
      <c r="I130" s="39"/>
      <c r="J130" s="39"/>
      <c r="K130" s="39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25">
      <c r="A131" s="38"/>
      <c r="B131" s="39"/>
      <c r="C131" s="39"/>
      <c r="D131" s="39"/>
      <c r="E131" s="40"/>
      <c r="F131" s="40"/>
      <c r="G131" s="41" t="str">
        <f t="shared" si="4"/>
        <v/>
      </c>
      <c r="H131" s="39"/>
      <c r="I131" s="39"/>
      <c r="J131" s="39"/>
      <c r="K131" s="39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25">
      <c r="A132" s="38"/>
      <c r="B132" s="39"/>
      <c r="C132" s="39"/>
      <c r="D132" s="39"/>
      <c r="E132" s="40"/>
      <c r="F132" s="40"/>
      <c r="G132" s="41" t="str">
        <f t="shared" si="4"/>
        <v/>
      </c>
      <c r="H132" s="39"/>
      <c r="I132" s="39"/>
      <c r="J132" s="39"/>
      <c r="K132" s="39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25">
      <c r="A133" s="38"/>
      <c r="B133" s="39"/>
      <c r="C133" s="39"/>
      <c r="D133" s="39"/>
      <c r="E133" s="40"/>
      <c r="F133" s="40"/>
      <c r="G133" s="41" t="str">
        <f t="shared" si="4"/>
        <v/>
      </c>
      <c r="H133" s="39"/>
      <c r="I133" s="39"/>
      <c r="J133" s="39"/>
      <c r="K133" s="39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25">
      <c r="A134" s="38"/>
      <c r="B134" s="39"/>
      <c r="C134" s="39"/>
      <c r="D134" s="39"/>
      <c r="E134" s="40"/>
      <c r="F134" s="40"/>
      <c r="G134" s="41" t="str">
        <f t="shared" si="4"/>
        <v/>
      </c>
      <c r="H134" s="39"/>
      <c r="I134" s="39"/>
      <c r="J134" s="39"/>
      <c r="K134" s="39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25">
      <c r="A135" s="38"/>
      <c r="B135" s="39"/>
      <c r="C135" s="39"/>
      <c r="D135" s="39"/>
      <c r="E135" s="40"/>
      <c r="F135" s="40"/>
      <c r="G135" s="41" t="str">
        <f t="shared" si="4"/>
        <v/>
      </c>
      <c r="H135" s="39"/>
      <c r="I135" s="39"/>
      <c r="J135" s="39"/>
      <c r="K135" s="39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25">
      <c r="A136" s="38"/>
      <c r="B136" s="39"/>
      <c r="C136" s="39"/>
      <c r="D136" s="39"/>
      <c r="E136" s="40"/>
      <c r="F136" s="40"/>
      <c r="G136" s="41" t="str">
        <f t="shared" si="4"/>
        <v/>
      </c>
      <c r="H136" s="39"/>
      <c r="I136" s="39"/>
      <c r="J136" s="39"/>
      <c r="K136" s="39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25">
      <c r="A137" s="38"/>
      <c r="B137" s="39"/>
      <c r="C137" s="39"/>
      <c r="D137" s="39"/>
      <c r="E137" s="40"/>
      <c r="F137" s="40"/>
      <c r="G137" s="41" t="str">
        <f t="shared" si="4"/>
        <v/>
      </c>
      <c r="H137" s="39"/>
      <c r="I137" s="39"/>
      <c r="J137" s="39"/>
      <c r="K137" s="39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25">
      <c r="A138" s="38"/>
      <c r="B138" s="39"/>
      <c r="C138" s="39"/>
      <c r="D138" s="39"/>
      <c r="E138" s="40"/>
      <c r="F138" s="40"/>
      <c r="G138" s="41" t="str">
        <f t="shared" si="4"/>
        <v/>
      </c>
      <c r="H138" s="39"/>
      <c r="I138" s="39"/>
      <c r="J138" s="39"/>
      <c r="K138" s="39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25">
      <c r="A139" s="38"/>
      <c r="B139" s="39"/>
      <c r="C139" s="39"/>
      <c r="D139" s="39"/>
      <c r="E139" s="40"/>
      <c r="F139" s="40"/>
      <c r="G139" s="41" t="str">
        <f t="shared" si="4"/>
        <v/>
      </c>
      <c r="H139" s="39"/>
      <c r="I139" s="39"/>
      <c r="J139" s="39"/>
      <c r="K139" s="39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25">
      <c r="A140" s="38"/>
      <c r="B140" s="39"/>
      <c r="C140" s="39"/>
      <c r="D140" s="39"/>
      <c r="E140" s="40"/>
      <c r="F140" s="40"/>
      <c r="G140" s="41" t="str">
        <f t="shared" si="4"/>
        <v/>
      </c>
      <c r="H140" s="39"/>
      <c r="I140" s="39"/>
      <c r="J140" s="39"/>
      <c r="K140" s="39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25">
      <c r="A141" s="38"/>
      <c r="B141" s="39"/>
      <c r="C141" s="39"/>
      <c r="D141" s="39"/>
      <c r="E141" s="40"/>
      <c r="F141" s="40"/>
      <c r="G141" s="41" t="str">
        <f t="shared" si="4"/>
        <v/>
      </c>
      <c r="H141" s="39"/>
      <c r="I141" s="39"/>
      <c r="J141" s="39"/>
      <c r="K141" s="39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25">
      <c r="A142" s="38"/>
      <c r="B142" s="39"/>
      <c r="C142" s="39"/>
      <c r="D142" s="39"/>
      <c r="E142" s="40"/>
      <c r="F142" s="40"/>
      <c r="G142" s="41" t="str">
        <f t="shared" si="4"/>
        <v/>
      </c>
      <c r="H142" s="39"/>
      <c r="I142" s="39"/>
      <c r="J142" s="39"/>
      <c r="K142" s="39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25">
      <c r="A143" s="38"/>
      <c r="B143" s="39"/>
      <c r="C143" s="39"/>
      <c r="D143" s="39"/>
      <c r="E143" s="40"/>
      <c r="F143" s="40"/>
      <c r="G143" s="41" t="str">
        <f t="shared" si="4"/>
        <v/>
      </c>
      <c r="H143" s="39"/>
      <c r="I143" s="39"/>
      <c r="J143" s="39"/>
      <c r="K143" s="39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25">
      <c r="A144" s="38"/>
      <c r="B144" s="39"/>
      <c r="C144" s="39"/>
      <c r="D144" s="39"/>
      <c r="E144" s="40"/>
      <c r="F144" s="40"/>
      <c r="G144" s="41" t="str">
        <f t="shared" si="4"/>
        <v/>
      </c>
      <c r="H144" s="39"/>
      <c r="I144" s="39"/>
      <c r="J144" s="39"/>
      <c r="K144" s="39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25">
      <c r="A145" s="38"/>
      <c r="B145" s="39"/>
      <c r="C145" s="39"/>
      <c r="D145" s="39"/>
      <c r="E145" s="40"/>
      <c r="F145" s="40"/>
      <c r="G145" s="41" t="str">
        <f t="shared" si="4"/>
        <v/>
      </c>
      <c r="H145" s="39"/>
      <c r="I145" s="39"/>
      <c r="J145" s="39"/>
      <c r="K145" s="39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25">
      <c r="A146" s="38"/>
      <c r="B146" s="39"/>
      <c r="C146" s="39"/>
      <c r="D146" s="39"/>
      <c r="E146" s="40"/>
      <c r="F146" s="40"/>
      <c r="G146" s="41" t="str">
        <f t="shared" si="4"/>
        <v/>
      </c>
      <c r="H146" s="39"/>
      <c r="I146" s="39"/>
      <c r="J146" s="39"/>
      <c r="K146" s="39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25">
      <c r="A147" s="38"/>
      <c r="B147" s="39"/>
      <c r="C147" s="39"/>
      <c r="D147" s="39"/>
      <c r="E147" s="40"/>
      <c r="F147" s="40"/>
      <c r="G147" s="41" t="str">
        <f t="shared" si="4"/>
        <v/>
      </c>
      <c r="H147" s="39"/>
      <c r="I147" s="39"/>
      <c r="J147" s="39"/>
      <c r="K147" s="39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25">
      <c r="A148" s="38"/>
      <c r="B148" s="39"/>
      <c r="C148" s="39"/>
      <c r="D148" s="39"/>
      <c r="E148" s="40"/>
      <c r="F148" s="40"/>
      <c r="G148" s="41" t="str">
        <f t="shared" si="4"/>
        <v/>
      </c>
      <c r="H148" s="39"/>
      <c r="I148" s="39"/>
      <c r="J148" s="39"/>
      <c r="K148" s="39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25">
      <c r="A149" s="38"/>
      <c r="B149" s="39"/>
      <c r="C149" s="39"/>
      <c r="D149" s="39"/>
      <c r="E149" s="40"/>
      <c r="F149" s="40"/>
      <c r="G149" s="41" t="str">
        <f t="shared" ref="G149:G180" si="5">IF(AND(E149="",F149=""),"",G148+IF(E149="",0,E149)-IF(F149="",0,F149))</f>
        <v/>
      </c>
      <c r="H149" s="39"/>
      <c r="I149" s="39"/>
      <c r="J149" s="39"/>
      <c r="K149" s="39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25">
      <c r="A150" s="38"/>
      <c r="B150" s="39"/>
      <c r="C150" s="39"/>
      <c r="D150" s="39"/>
      <c r="E150" s="40"/>
      <c r="F150" s="40"/>
      <c r="G150" s="41" t="str">
        <f t="shared" si="5"/>
        <v/>
      </c>
      <c r="H150" s="39"/>
      <c r="I150" s="39"/>
      <c r="J150" s="39"/>
      <c r="K150" s="39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25">
      <c r="A151" s="38"/>
      <c r="B151" s="39"/>
      <c r="C151" s="39"/>
      <c r="D151" s="39"/>
      <c r="E151" s="40"/>
      <c r="F151" s="40"/>
      <c r="G151" s="41" t="str">
        <f t="shared" si="5"/>
        <v/>
      </c>
      <c r="H151" s="39"/>
      <c r="I151" s="39"/>
      <c r="J151" s="39"/>
      <c r="K151" s="39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25">
      <c r="A152" s="38"/>
      <c r="B152" s="39"/>
      <c r="C152" s="39"/>
      <c r="D152" s="39"/>
      <c r="E152" s="40"/>
      <c r="F152" s="40"/>
      <c r="G152" s="41" t="str">
        <f t="shared" si="5"/>
        <v/>
      </c>
      <c r="H152" s="39"/>
      <c r="I152" s="39"/>
      <c r="J152" s="39"/>
      <c r="K152" s="39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25">
      <c r="A153" s="38"/>
      <c r="B153" s="39"/>
      <c r="C153" s="39"/>
      <c r="D153" s="39"/>
      <c r="E153" s="40"/>
      <c r="F153" s="40"/>
      <c r="G153" s="41" t="str">
        <f t="shared" si="5"/>
        <v/>
      </c>
      <c r="H153" s="39"/>
      <c r="I153" s="39"/>
      <c r="J153" s="39"/>
      <c r="K153" s="39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25">
      <c r="A154" s="38"/>
      <c r="B154" s="39"/>
      <c r="C154" s="39"/>
      <c r="D154" s="39"/>
      <c r="E154" s="40"/>
      <c r="F154" s="40"/>
      <c r="G154" s="41" t="str">
        <f t="shared" si="5"/>
        <v/>
      </c>
      <c r="H154" s="39"/>
      <c r="I154" s="39"/>
      <c r="J154" s="39"/>
      <c r="K154" s="39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25">
      <c r="A155" s="38"/>
      <c r="B155" s="39"/>
      <c r="C155" s="39"/>
      <c r="D155" s="39"/>
      <c r="E155" s="40"/>
      <c r="F155" s="40"/>
      <c r="G155" s="41" t="str">
        <f t="shared" si="5"/>
        <v/>
      </c>
      <c r="H155" s="39"/>
      <c r="I155" s="39"/>
      <c r="J155" s="39"/>
      <c r="K155" s="39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25">
      <c r="A156" s="38"/>
      <c r="B156" s="39"/>
      <c r="C156" s="39"/>
      <c r="D156" s="39"/>
      <c r="E156" s="40"/>
      <c r="F156" s="40"/>
      <c r="G156" s="41" t="str">
        <f t="shared" si="5"/>
        <v/>
      </c>
      <c r="H156" s="39"/>
      <c r="I156" s="39"/>
      <c r="J156" s="39"/>
      <c r="K156" s="39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25">
      <c r="A157" s="38"/>
      <c r="B157" s="39"/>
      <c r="C157" s="39"/>
      <c r="D157" s="39"/>
      <c r="E157" s="40"/>
      <c r="F157" s="40"/>
      <c r="G157" s="41" t="str">
        <f t="shared" si="5"/>
        <v/>
      </c>
      <c r="H157" s="39"/>
      <c r="I157" s="39"/>
      <c r="J157" s="39"/>
      <c r="K157" s="39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25">
      <c r="A158" s="38"/>
      <c r="B158" s="39"/>
      <c r="C158" s="39"/>
      <c r="D158" s="39"/>
      <c r="E158" s="40"/>
      <c r="F158" s="40"/>
      <c r="G158" s="41" t="str">
        <f t="shared" si="5"/>
        <v/>
      </c>
      <c r="H158" s="39"/>
      <c r="I158" s="39"/>
      <c r="J158" s="39"/>
      <c r="K158" s="39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25">
      <c r="A159" s="38"/>
      <c r="B159" s="39"/>
      <c r="C159" s="39"/>
      <c r="D159" s="39"/>
      <c r="E159" s="40"/>
      <c r="F159" s="40"/>
      <c r="G159" s="41" t="str">
        <f t="shared" si="5"/>
        <v/>
      </c>
      <c r="H159" s="39"/>
      <c r="I159" s="39"/>
      <c r="J159" s="39"/>
      <c r="K159" s="39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25">
      <c r="A160" s="38"/>
      <c r="B160" s="39"/>
      <c r="C160" s="39"/>
      <c r="D160" s="39"/>
      <c r="E160" s="40"/>
      <c r="F160" s="40"/>
      <c r="G160" s="41" t="str">
        <f t="shared" si="5"/>
        <v/>
      </c>
      <c r="H160" s="39"/>
      <c r="I160" s="39"/>
      <c r="J160" s="39"/>
      <c r="K160" s="39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25">
      <c r="A161" s="38"/>
      <c r="B161" s="39"/>
      <c r="C161" s="39"/>
      <c r="D161" s="39"/>
      <c r="E161" s="40"/>
      <c r="F161" s="40"/>
      <c r="G161" s="41" t="str">
        <f t="shared" si="5"/>
        <v/>
      </c>
      <c r="H161" s="39"/>
      <c r="I161" s="39"/>
      <c r="J161" s="39"/>
      <c r="K161" s="39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25">
      <c r="A162" s="38"/>
      <c r="B162" s="39"/>
      <c r="C162" s="39"/>
      <c r="D162" s="39"/>
      <c r="E162" s="40"/>
      <c r="F162" s="40"/>
      <c r="G162" s="41" t="str">
        <f t="shared" si="5"/>
        <v/>
      </c>
      <c r="H162" s="39"/>
      <c r="I162" s="39"/>
      <c r="J162" s="39"/>
      <c r="K162" s="39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25">
      <c r="A163" s="38"/>
      <c r="B163" s="39"/>
      <c r="C163" s="39"/>
      <c r="D163" s="39"/>
      <c r="E163" s="40"/>
      <c r="F163" s="40"/>
      <c r="G163" s="41" t="str">
        <f t="shared" si="5"/>
        <v/>
      </c>
      <c r="H163" s="39"/>
      <c r="I163" s="39"/>
      <c r="J163" s="39"/>
      <c r="K163" s="39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25">
      <c r="A164" s="38"/>
      <c r="B164" s="39"/>
      <c r="C164" s="39"/>
      <c r="D164" s="39"/>
      <c r="E164" s="40"/>
      <c r="F164" s="40"/>
      <c r="G164" s="41" t="str">
        <f t="shared" si="5"/>
        <v/>
      </c>
      <c r="H164" s="39"/>
      <c r="I164" s="39"/>
      <c r="J164" s="39"/>
      <c r="K164" s="39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25">
      <c r="A165" s="38"/>
      <c r="B165" s="39"/>
      <c r="C165" s="39"/>
      <c r="D165" s="39"/>
      <c r="E165" s="40"/>
      <c r="F165" s="40"/>
      <c r="G165" s="41" t="str">
        <f t="shared" si="5"/>
        <v/>
      </c>
      <c r="H165" s="39"/>
      <c r="I165" s="39"/>
      <c r="J165" s="39"/>
      <c r="K165" s="39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25">
      <c r="A166" s="38"/>
      <c r="B166" s="39"/>
      <c r="C166" s="39"/>
      <c r="D166" s="39"/>
      <c r="E166" s="40"/>
      <c r="F166" s="40"/>
      <c r="G166" s="41" t="str">
        <f t="shared" si="5"/>
        <v/>
      </c>
      <c r="H166" s="39"/>
      <c r="I166" s="39"/>
      <c r="J166" s="39"/>
      <c r="K166" s="39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25">
      <c r="A167" s="38"/>
      <c r="B167" s="39"/>
      <c r="C167" s="39"/>
      <c r="D167" s="39"/>
      <c r="E167" s="40"/>
      <c r="F167" s="40"/>
      <c r="G167" s="41" t="str">
        <f t="shared" si="5"/>
        <v/>
      </c>
      <c r="H167" s="39"/>
      <c r="I167" s="39"/>
      <c r="J167" s="39"/>
      <c r="K167" s="39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25">
      <c r="A168" s="38"/>
      <c r="B168" s="39"/>
      <c r="C168" s="39"/>
      <c r="D168" s="39"/>
      <c r="E168" s="40"/>
      <c r="F168" s="40"/>
      <c r="G168" s="41" t="str">
        <f t="shared" si="5"/>
        <v/>
      </c>
      <c r="H168" s="39"/>
      <c r="I168" s="39"/>
      <c r="J168" s="39"/>
      <c r="K168" s="39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25">
      <c r="A169" s="38"/>
      <c r="B169" s="39"/>
      <c r="C169" s="39"/>
      <c r="D169" s="39"/>
      <c r="E169" s="40"/>
      <c r="F169" s="40"/>
      <c r="G169" s="41" t="str">
        <f t="shared" si="5"/>
        <v/>
      </c>
      <c r="H169" s="39"/>
      <c r="I169" s="39"/>
      <c r="J169" s="39"/>
      <c r="K169" s="39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25">
      <c r="A170" s="38"/>
      <c r="B170" s="39"/>
      <c r="C170" s="39"/>
      <c r="D170" s="39"/>
      <c r="E170" s="40"/>
      <c r="F170" s="40"/>
      <c r="G170" s="41" t="str">
        <f t="shared" si="5"/>
        <v/>
      </c>
      <c r="H170" s="39"/>
      <c r="I170" s="39"/>
      <c r="J170" s="39"/>
      <c r="K170" s="39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25">
      <c r="A171" s="38"/>
      <c r="B171" s="39"/>
      <c r="C171" s="39"/>
      <c r="D171" s="39"/>
      <c r="E171" s="40"/>
      <c r="F171" s="40"/>
      <c r="G171" s="41" t="str">
        <f t="shared" si="5"/>
        <v/>
      </c>
      <c r="H171" s="39"/>
      <c r="I171" s="39"/>
      <c r="J171" s="39"/>
      <c r="K171" s="39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25">
      <c r="A172" s="38"/>
      <c r="B172" s="39"/>
      <c r="C172" s="39"/>
      <c r="D172" s="39"/>
      <c r="E172" s="40"/>
      <c r="F172" s="40"/>
      <c r="G172" s="41" t="str">
        <f t="shared" si="5"/>
        <v/>
      </c>
      <c r="H172" s="39"/>
      <c r="I172" s="39"/>
      <c r="J172" s="39"/>
      <c r="K172" s="39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25">
      <c r="A173" s="38"/>
      <c r="B173" s="39"/>
      <c r="C173" s="39"/>
      <c r="D173" s="39"/>
      <c r="E173" s="40"/>
      <c r="F173" s="40"/>
      <c r="G173" s="41" t="str">
        <f t="shared" si="5"/>
        <v/>
      </c>
      <c r="H173" s="39"/>
      <c r="I173" s="39"/>
      <c r="J173" s="39"/>
      <c r="K173" s="39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25">
      <c r="A174" s="38"/>
      <c r="B174" s="39"/>
      <c r="C174" s="39"/>
      <c r="D174" s="39"/>
      <c r="E174" s="40"/>
      <c r="F174" s="40"/>
      <c r="G174" s="41" t="str">
        <f t="shared" si="5"/>
        <v/>
      </c>
      <c r="H174" s="39"/>
      <c r="I174" s="39"/>
      <c r="J174" s="39"/>
      <c r="K174" s="39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25">
      <c r="A175" s="38"/>
      <c r="B175" s="39"/>
      <c r="C175" s="39"/>
      <c r="D175" s="39"/>
      <c r="E175" s="40"/>
      <c r="F175" s="40"/>
      <c r="G175" s="41" t="str">
        <f t="shared" si="5"/>
        <v/>
      </c>
      <c r="H175" s="39"/>
      <c r="I175" s="39"/>
      <c r="J175" s="39"/>
      <c r="K175" s="39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25">
      <c r="A176" s="38"/>
      <c r="B176" s="39"/>
      <c r="C176" s="39"/>
      <c r="D176" s="39"/>
      <c r="E176" s="40"/>
      <c r="F176" s="40"/>
      <c r="G176" s="41" t="str">
        <f t="shared" si="5"/>
        <v/>
      </c>
      <c r="H176" s="39"/>
      <c r="I176" s="39"/>
      <c r="J176" s="39"/>
      <c r="K176" s="39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25">
      <c r="A177" s="38"/>
      <c r="B177" s="39"/>
      <c r="C177" s="39"/>
      <c r="D177" s="39"/>
      <c r="E177" s="40"/>
      <c r="F177" s="40"/>
      <c r="G177" s="41" t="str">
        <f t="shared" si="5"/>
        <v/>
      </c>
      <c r="H177" s="39"/>
      <c r="I177" s="39"/>
      <c r="J177" s="39"/>
      <c r="K177" s="39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25">
      <c r="A178" s="38"/>
      <c r="B178" s="39"/>
      <c r="C178" s="39"/>
      <c r="D178" s="39"/>
      <c r="E178" s="40"/>
      <c r="F178" s="40"/>
      <c r="G178" s="41" t="str">
        <f t="shared" si="5"/>
        <v/>
      </c>
      <c r="H178" s="39"/>
      <c r="I178" s="39"/>
      <c r="J178" s="39"/>
      <c r="K178" s="39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25">
      <c r="A179" s="38"/>
      <c r="B179" s="39"/>
      <c r="C179" s="39"/>
      <c r="D179" s="39"/>
      <c r="E179" s="40"/>
      <c r="F179" s="40"/>
      <c r="G179" s="41" t="str">
        <f t="shared" si="5"/>
        <v/>
      </c>
      <c r="H179" s="39"/>
      <c r="I179" s="39"/>
      <c r="J179" s="39"/>
      <c r="K179" s="39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25">
      <c r="A180" s="38"/>
      <c r="B180" s="39"/>
      <c r="C180" s="39"/>
      <c r="D180" s="39"/>
      <c r="E180" s="40"/>
      <c r="F180" s="40"/>
      <c r="G180" s="41" t="str">
        <f t="shared" si="5"/>
        <v/>
      </c>
      <c r="H180" s="39"/>
      <c r="I180" s="39"/>
      <c r="J180" s="39"/>
      <c r="K180" s="39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25">
      <c r="A181" s="38"/>
      <c r="B181" s="39"/>
      <c r="C181" s="39"/>
      <c r="D181" s="39"/>
      <c r="E181" s="40"/>
      <c r="F181" s="40"/>
      <c r="G181" s="41" t="str">
        <f t="shared" ref="G181:G212" si="6">IF(AND(E181="",F181=""),"",G180+IF(E181="",0,E181)-IF(F181="",0,F181))</f>
        <v/>
      </c>
      <c r="H181" s="39"/>
      <c r="I181" s="39"/>
      <c r="J181" s="39"/>
      <c r="K181" s="39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25">
      <c r="A182" s="38"/>
      <c r="B182" s="39"/>
      <c r="C182" s="39"/>
      <c r="D182" s="39"/>
      <c r="E182" s="40"/>
      <c r="F182" s="40"/>
      <c r="G182" s="41" t="str">
        <f t="shared" si="6"/>
        <v/>
      </c>
      <c r="H182" s="39"/>
      <c r="I182" s="39"/>
      <c r="J182" s="39"/>
      <c r="K182" s="39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25">
      <c r="A183" s="38"/>
      <c r="B183" s="39"/>
      <c r="C183" s="39"/>
      <c r="D183" s="39"/>
      <c r="E183" s="40"/>
      <c r="F183" s="40"/>
      <c r="G183" s="41" t="str">
        <f t="shared" si="6"/>
        <v/>
      </c>
      <c r="H183" s="39"/>
      <c r="I183" s="39"/>
      <c r="J183" s="39"/>
      <c r="K183" s="39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25">
      <c r="A184" s="38"/>
      <c r="B184" s="39"/>
      <c r="C184" s="39"/>
      <c r="D184" s="39"/>
      <c r="E184" s="40"/>
      <c r="F184" s="40"/>
      <c r="G184" s="41" t="str">
        <f t="shared" si="6"/>
        <v/>
      </c>
      <c r="H184" s="39"/>
      <c r="I184" s="39"/>
      <c r="J184" s="39"/>
      <c r="K184" s="39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25">
      <c r="A185" s="38"/>
      <c r="B185" s="39"/>
      <c r="C185" s="39"/>
      <c r="D185" s="39"/>
      <c r="E185" s="40"/>
      <c r="F185" s="40"/>
      <c r="G185" s="41" t="str">
        <f t="shared" si="6"/>
        <v/>
      </c>
      <c r="H185" s="39"/>
      <c r="I185" s="39"/>
      <c r="J185" s="39"/>
      <c r="K185" s="39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25">
      <c r="A186" s="38"/>
      <c r="B186" s="39"/>
      <c r="C186" s="39"/>
      <c r="D186" s="39"/>
      <c r="E186" s="40"/>
      <c r="F186" s="40"/>
      <c r="G186" s="41" t="str">
        <f t="shared" si="6"/>
        <v/>
      </c>
      <c r="H186" s="39"/>
      <c r="I186" s="39"/>
      <c r="J186" s="39"/>
      <c r="K186" s="39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25">
      <c r="A187" s="38"/>
      <c r="B187" s="39"/>
      <c r="C187" s="39"/>
      <c r="D187" s="39"/>
      <c r="E187" s="40"/>
      <c r="F187" s="40"/>
      <c r="G187" s="41" t="str">
        <f t="shared" si="6"/>
        <v/>
      </c>
      <c r="H187" s="39"/>
      <c r="I187" s="39"/>
      <c r="J187" s="39"/>
      <c r="K187" s="39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25">
      <c r="A188" s="38"/>
      <c r="B188" s="39"/>
      <c r="C188" s="39"/>
      <c r="D188" s="39"/>
      <c r="E188" s="40"/>
      <c r="F188" s="40"/>
      <c r="G188" s="41" t="str">
        <f t="shared" si="6"/>
        <v/>
      </c>
      <c r="H188" s="39"/>
      <c r="I188" s="39"/>
      <c r="J188" s="39"/>
      <c r="K188" s="39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25">
      <c r="A189" s="38"/>
      <c r="B189" s="39"/>
      <c r="C189" s="39"/>
      <c r="D189" s="39"/>
      <c r="E189" s="40"/>
      <c r="F189" s="40"/>
      <c r="G189" s="41" t="str">
        <f t="shared" si="6"/>
        <v/>
      </c>
      <c r="H189" s="39"/>
      <c r="I189" s="39"/>
      <c r="J189" s="39"/>
      <c r="K189" s="39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25">
      <c r="A190" s="38"/>
      <c r="B190" s="39"/>
      <c r="C190" s="39"/>
      <c r="D190" s="39"/>
      <c r="E190" s="40"/>
      <c r="F190" s="40"/>
      <c r="G190" s="41" t="str">
        <f t="shared" si="6"/>
        <v/>
      </c>
      <c r="H190" s="39"/>
      <c r="I190" s="39"/>
      <c r="J190" s="39"/>
      <c r="K190" s="39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25">
      <c r="A191" s="38"/>
      <c r="B191" s="39"/>
      <c r="C191" s="39"/>
      <c r="D191" s="39"/>
      <c r="E191" s="40"/>
      <c r="F191" s="40"/>
      <c r="G191" s="41" t="str">
        <f t="shared" si="6"/>
        <v/>
      </c>
      <c r="H191" s="39"/>
      <c r="I191" s="39"/>
      <c r="J191" s="39"/>
      <c r="K191" s="39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25">
      <c r="A192" s="38"/>
      <c r="B192" s="39"/>
      <c r="C192" s="39"/>
      <c r="D192" s="39"/>
      <c r="E192" s="40"/>
      <c r="F192" s="40"/>
      <c r="G192" s="41" t="str">
        <f t="shared" si="6"/>
        <v/>
      </c>
      <c r="H192" s="39"/>
      <c r="I192" s="39"/>
      <c r="J192" s="39"/>
      <c r="K192" s="39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25">
      <c r="A193" s="38"/>
      <c r="B193" s="39"/>
      <c r="C193" s="39"/>
      <c r="D193" s="39"/>
      <c r="E193" s="40"/>
      <c r="F193" s="40"/>
      <c r="G193" s="41" t="str">
        <f t="shared" si="6"/>
        <v/>
      </c>
      <c r="H193" s="39"/>
      <c r="I193" s="39"/>
      <c r="J193" s="39"/>
      <c r="K193" s="39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25">
      <c r="A194" s="38"/>
      <c r="B194" s="39"/>
      <c r="C194" s="39"/>
      <c r="D194" s="39"/>
      <c r="E194" s="40"/>
      <c r="F194" s="40"/>
      <c r="G194" s="41" t="str">
        <f t="shared" si="6"/>
        <v/>
      </c>
      <c r="H194" s="39"/>
      <c r="I194" s="39"/>
      <c r="J194" s="39"/>
      <c r="K194" s="39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25">
      <c r="A195" s="38"/>
      <c r="B195" s="39"/>
      <c r="C195" s="39"/>
      <c r="D195" s="39"/>
      <c r="E195" s="40"/>
      <c r="F195" s="40"/>
      <c r="G195" s="41" t="str">
        <f t="shared" si="6"/>
        <v/>
      </c>
      <c r="H195" s="39"/>
      <c r="I195" s="39"/>
      <c r="J195" s="39"/>
      <c r="K195" s="39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25">
      <c r="A196" s="38"/>
      <c r="B196" s="39"/>
      <c r="C196" s="39"/>
      <c r="D196" s="39"/>
      <c r="E196" s="40"/>
      <c r="F196" s="40"/>
      <c r="G196" s="41" t="str">
        <f t="shared" si="6"/>
        <v/>
      </c>
      <c r="H196" s="39"/>
      <c r="I196" s="39"/>
      <c r="J196" s="39"/>
      <c r="K196" s="39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25">
      <c r="A197" s="38"/>
      <c r="B197" s="39"/>
      <c r="C197" s="39"/>
      <c r="D197" s="39"/>
      <c r="E197" s="40"/>
      <c r="F197" s="40"/>
      <c r="G197" s="41" t="str">
        <f t="shared" si="6"/>
        <v/>
      </c>
      <c r="H197" s="39"/>
      <c r="I197" s="39"/>
      <c r="J197" s="39"/>
      <c r="K197" s="39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25">
      <c r="A198" s="38"/>
      <c r="B198" s="39"/>
      <c r="C198" s="39"/>
      <c r="D198" s="39"/>
      <c r="E198" s="40"/>
      <c r="F198" s="40"/>
      <c r="G198" s="41" t="str">
        <f t="shared" si="6"/>
        <v/>
      </c>
      <c r="H198" s="39"/>
      <c r="I198" s="39"/>
      <c r="J198" s="39"/>
      <c r="K198" s="39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25">
      <c r="A199" s="38"/>
      <c r="B199" s="39"/>
      <c r="C199" s="39"/>
      <c r="D199" s="39"/>
      <c r="E199" s="40"/>
      <c r="F199" s="40"/>
      <c r="G199" s="41" t="str">
        <f t="shared" si="6"/>
        <v/>
      </c>
      <c r="H199" s="39"/>
      <c r="I199" s="39"/>
      <c r="J199" s="39"/>
      <c r="K199" s="39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25">
      <c r="A200" s="38"/>
      <c r="B200" s="39"/>
      <c r="C200" s="39"/>
      <c r="D200" s="39"/>
      <c r="E200" s="40"/>
      <c r="F200" s="40"/>
      <c r="G200" s="41" t="str">
        <f t="shared" si="6"/>
        <v/>
      </c>
      <c r="H200" s="39"/>
      <c r="I200" s="39"/>
      <c r="J200" s="39"/>
      <c r="K200" s="39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25">
      <c r="A201" s="38"/>
      <c r="B201" s="39"/>
      <c r="C201" s="39"/>
      <c r="D201" s="39"/>
      <c r="E201" s="40"/>
      <c r="F201" s="40"/>
      <c r="G201" s="41" t="str">
        <f t="shared" si="6"/>
        <v/>
      </c>
      <c r="H201" s="39"/>
      <c r="I201" s="39"/>
      <c r="J201" s="39"/>
      <c r="K201" s="39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25">
      <c r="A202" s="38"/>
      <c r="B202" s="39"/>
      <c r="C202" s="39"/>
      <c r="D202" s="39"/>
      <c r="E202" s="40"/>
      <c r="F202" s="40"/>
      <c r="G202" s="41" t="str">
        <f t="shared" si="6"/>
        <v/>
      </c>
      <c r="H202" s="39"/>
      <c r="I202" s="39"/>
      <c r="J202" s="39"/>
      <c r="K202" s="39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25">
      <c r="A203" s="38"/>
      <c r="B203" s="39"/>
      <c r="C203" s="39"/>
      <c r="D203" s="39"/>
      <c r="E203" s="40"/>
      <c r="F203" s="40"/>
      <c r="G203" s="41" t="str">
        <f t="shared" si="6"/>
        <v/>
      </c>
      <c r="H203" s="39"/>
      <c r="I203" s="39"/>
      <c r="J203" s="39"/>
      <c r="K203" s="39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25">
      <c r="A204" s="38"/>
      <c r="B204" s="39"/>
      <c r="C204" s="39"/>
      <c r="D204" s="39"/>
      <c r="E204" s="40"/>
      <c r="F204" s="40"/>
      <c r="G204" s="41" t="str">
        <f t="shared" si="6"/>
        <v/>
      </c>
      <c r="H204" s="39"/>
      <c r="I204" s="39"/>
      <c r="J204" s="39"/>
      <c r="K204" s="39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25">
      <c r="A205" s="38"/>
      <c r="B205" s="39"/>
      <c r="C205" s="39"/>
      <c r="D205" s="39"/>
      <c r="E205" s="40"/>
      <c r="F205" s="40"/>
      <c r="G205" s="41" t="str">
        <f t="shared" si="6"/>
        <v/>
      </c>
      <c r="H205" s="39"/>
      <c r="I205" s="39"/>
      <c r="J205" s="39"/>
      <c r="K205" s="39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25">
      <c r="A206" s="38"/>
      <c r="B206" s="39"/>
      <c r="C206" s="39"/>
      <c r="D206" s="39"/>
      <c r="E206" s="40"/>
      <c r="F206" s="40"/>
      <c r="G206" s="41" t="str">
        <f t="shared" si="6"/>
        <v/>
      </c>
      <c r="H206" s="39"/>
      <c r="I206" s="39"/>
      <c r="J206" s="39"/>
      <c r="K206" s="39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2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2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2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2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2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2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2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2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2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2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2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2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2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2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2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2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2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2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2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2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2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2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2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2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2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2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2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2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2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2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2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2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2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2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2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2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2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2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2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2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2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2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2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2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2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2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2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2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2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2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2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2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2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2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2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2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2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2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2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2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2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2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2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2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2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2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2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2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2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2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2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2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2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2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2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2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2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2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2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2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2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2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2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2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2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2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2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2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2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2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2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2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2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2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2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2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2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2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2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2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2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2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2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2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2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2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2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2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2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2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2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2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2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2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2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2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2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2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2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2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2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2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2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2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2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2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2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2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2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2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2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2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2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2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2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2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2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2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2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2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2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2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2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2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2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2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2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2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2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2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2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2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2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2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2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2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2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2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2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2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2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2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2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2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2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2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2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2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2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2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2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2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2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2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2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2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2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2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2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2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2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2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2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2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2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2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2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2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2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2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2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2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2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2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2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2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2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2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2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2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2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2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2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2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2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2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2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2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2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2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2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2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2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2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2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2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2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2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2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2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2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2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2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2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2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2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2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2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2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2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2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2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2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2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2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2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2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2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2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2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2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2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2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2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2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2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2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2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2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2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2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2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2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2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2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2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2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2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2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2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2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2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2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2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2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2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2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2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2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2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2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2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2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2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2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2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2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2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2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2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2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2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2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2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2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2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2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2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2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2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2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2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2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2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2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2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2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2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2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2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2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2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2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2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2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2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2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2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2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2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2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2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2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2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2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2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2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2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2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2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2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2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2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2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2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2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2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2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2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2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2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2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2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2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2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2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2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2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2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2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2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2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2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2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2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2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2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2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2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2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2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2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2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2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2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2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2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2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2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2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2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2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2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2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2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2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2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2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2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2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2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2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2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2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2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2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2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2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2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2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2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2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2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2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2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2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2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2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2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2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2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2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2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2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2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2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2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2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2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2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2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2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2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2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2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2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2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2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2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2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2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2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2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2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2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2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2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2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2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2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2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2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2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2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2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2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2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2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2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2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2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2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2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2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2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2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2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2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2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2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2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2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2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2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2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2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2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2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2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2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2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2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2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2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2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2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2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2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2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2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2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2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2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2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2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2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2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2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2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2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2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2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2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2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2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2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2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2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2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2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2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2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2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2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2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2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2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2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2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2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2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2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2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2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2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2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2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2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2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2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2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2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2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2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2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2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2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2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2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2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2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2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 x14ac:dyDescent="0.2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 x14ac:dyDescent="0.2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 x14ac:dyDescent="0.2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 x14ac:dyDescent="0.2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 x14ac:dyDescent="0.2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 x14ac:dyDescent="0.2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 x14ac:dyDescent="0.2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 x14ac:dyDescent="0.2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 x14ac:dyDescent="0.2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 x14ac:dyDescent="0.2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 x14ac:dyDescent="0.2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 x14ac:dyDescent="0.2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 x14ac:dyDescent="0.2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 x14ac:dyDescent="0.2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 x14ac:dyDescent="0.2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 x14ac:dyDescent="0.2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 x14ac:dyDescent="0.2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 x14ac:dyDescent="0.2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 x14ac:dyDescent="0.2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 x14ac:dyDescent="0.2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 x14ac:dyDescent="0.2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 x14ac:dyDescent="0.2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 x14ac:dyDescent="0.2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 x14ac:dyDescent="0.2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 x14ac:dyDescent="0.2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 x14ac:dyDescent="0.2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 x14ac:dyDescent="0.2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 x14ac:dyDescent="0.2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 x14ac:dyDescent="0.2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 x14ac:dyDescent="0.2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 x14ac:dyDescent="0.2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 x14ac:dyDescent="0.2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 x14ac:dyDescent="0.2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 x14ac:dyDescent="0.2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 x14ac:dyDescent="0.2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 x14ac:dyDescent="0.2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 x14ac:dyDescent="0.2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 x14ac:dyDescent="0.2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 x14ac:dyDescent="0.2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 x14ac:dyDescent="0.2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 x14ac:dyDescent="0.2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 x14ac:dyDescent="0.2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 x14ac:dyDescent="0.2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 x14ac:dyDescent="0.2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 x14ac:dyDescent="0.2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 x14ac:dyDescent="0.2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 x14ac:dyDescent="0.2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 x14ac:dyDescent="0.2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 x14ac:dyDescent="0.2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 x14ac:dyDescent="0.2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 x14ac:dyDescent="0.2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 x14ac:dyDescent="0.2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 x14ac:dyDescent="0.2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 x14ac:dyDescent="0.2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 x14ac:dyDescent="0.2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 x14ac:dyDescent="0.2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 x14ac:dyDescent="0.2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 x14ac:dyDescent="0.2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 x14ac:dyDescent="0.2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 x14ac:dyDescent="0.2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 x14ac:dyDescent="0.2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 x14ac:dyDescent="0.2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 x14ac:dyDescent="0.2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 x14ac:dyDescent="0.2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 x14ac:dyDescent="0.2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 x14ac:dyDescent="0.2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 x14ac:dyDescent="0.2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 x14ac:dyDescent="0.2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 x14ac:dyDescent="0.2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 x14ac:dyDescent="0.2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 x14ac:dyDescent="0.2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 x14ac:dyDescent="0.2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 x14ac:dyDescent="0.2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 x14ac:dyDescent="0.2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 x14ac:dyDescent="0.2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 x14ac:dyDescent="0.2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 x14ac:dyDescent="0.2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 x14ac:dyDescent="0.2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 x14ac:dyDescent="0.2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 x14ac:dyDescent="0.2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 x14ac:dyDescent="0.2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 x14ac:dyDescent="0.2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 x14ac:dyDescent="0.2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 x14ac:dyDescent="0.2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 x14ac:dyDescent="0.2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 x14ac:dyDescent="0.2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 x14ac:dyDescent="0.2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 x14ac:dyDescent="0.2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 x14ac:dyDescent="0.2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 x14ac:dyDescent="0.2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 x14ac:dyDescent="0.2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 x14ac:dyDescent="0.2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 x14ac:dyDescent="0.2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 x14ac:dyDescent="0.2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 x14ac:dyDescent="0.2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 x14ac:dyDescent="0.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 x14ac:dyDescent="0.2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 x14ac:dyDescent="0.2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 x14ac:dyDescent="0.2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 x14ac:dyDescent="0.2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 x14ac:dyDescent="0.2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 x14ac:dyDescent="0.2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 x14ac:dyDescent="0.2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 x14ac:dyDescent="0.2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 x14ac:dyDescent="0.2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 x14ac:dyDescent="0.2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 x14ac:dyDescent="0.2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 x14ac:dyDescent="0.2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 x14ac:dyDescent="0.2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 x14ac:dyDescent="0.2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 x14ac:dyDescent="0.2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 x14ac:dyDescent="0.2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 x14ac:dyDescent="0.2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 x14ac:dyDescent="0.2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 x14ac:dyDescent="0.2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 x14ac:dyDescent="0.2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 x14ac:dyDescent="0.2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 x14ac:dyDescent="0.2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 x14ac:dyDescent="0.2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 x14ac:dyDescent="0.2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 x14ac:dyDescent="0.2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 x14ac:dyDescent="0.2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 x14ac:dyDescent="0.2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 x14ac:dyDescent="0.2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 x14ac:dyDescent="0.2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 x14ac:dyDescent="0.2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 x14ac:dyDescent="0.2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 x14ac:dyDescent="0.2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 x14ac:dyDescent="0.2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 x14ac:dyDescent="0.2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 x14ac:dyDescent="0.2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 x14ac:dyDescent="0.2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 x14ac:dyDescent="0.2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 x14ac:dyDescent="0.2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 x14ac:dyDescent="0.2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 x14ac:dyDescent="0.2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 x14ac:dyDescent="0.2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 x14ac:dyDescent="0.2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 x14ac:dyDescent="0.2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 x14ac:dyDescent="0.2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 x14ac:dyDescent="0.2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 x14ac:dyDescent="0.2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 x14ac:dyDescent="0.2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 x14ac:dyDescent="0.2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 x14ac:dyDescent="0.2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 x14ac:dyDescent="0.2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 x14ac:dyDescent="0.2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 x14ac:dyDescent="0.2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 x14ac:dyDescent="0.2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 x14ac:dyDescent="0.2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 x14ac:dyDescent="0.2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 x14ac:dyDescent="0.2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 x14ac:dyDescent="0.2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 x14ac:dyDescent="0.2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 x14ac:dyDescent="0.2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 x14ac:dyDescent="0.2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 x14ac:dyDescent="0.2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 x14ac:dyDescent="0.2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 x14ac:dyDescent="0.2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 x14ac:dyDescent="0.2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 x14ac:dyDescent="0.2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 x14ac:dyDescent="0.2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 x14ac:dyDescent="0.2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 x14ac:dyDescent="0.2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 x14ac:dyDescent="0.2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 x14ac:dyDescent="0.2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 x14ac:dyDescent="0.2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 x14ac:dyDescent="0.2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 x14ac:dyDescent="0.2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 x14ac:dyDescent="0.2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 x14ac:dyDescent="0.2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 x14ac:dyDescent="0.2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 x14ac:dyDescent="0.2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 x14ac:dyDescent="0.2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 x14ac:dyDescent="0.2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 x14ac:dyDescent="0.2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 x14ac:dyDescent="0.2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 x14ac:dyDescent="0.2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 x14ac:dyDescent="0.2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 x14ac:dyDescent="0.2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 x14ac:dyDescent="0.2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 x14ac:dyDescent="0.2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 x14ac:dyDescent="0.2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 x14ac:dyDescent="0.2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 x14ac:dyDescent="0.2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 x14ac:dyDescent="0.2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 x14ac:dyDescent="0.2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 x14ac:dyDescent="0.2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 x14ac:dyDescent="0.2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 x14ac:dyDescent="0.2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 x14ac:dyDescent="0.2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 x14ac:dyDescent="0.2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 x14ac:dyDescent="0.2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 x14ac:dyDescent="0.2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 x14ac:dyDescent="0.2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 x14ac:dyDescent="0.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 x14ac:dyDescent="0.2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 x14ac:dyDescent="0.2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 x14ac:dyDescent="0.2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 x14ac:dyDescent="0.2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 x14ac:dyDescent="0.2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 x14ac:dyDescent="0.2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 x14ac:dyDescent="0.2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 x14ac:dyDescent="0.2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 x14ac:dyDescent="0.2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 x14ac:dyDescent="0.2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 x14ac:dyDescent="0.2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 x14ac:dyDescent="0.2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 x14ac:dyDescent="0.2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 x14ac:dyDescent="0.2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 x14ac:dyDescent="0.2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 x14ac:dyDescent="0.2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 x14ac:dyDescent="0.2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 x14ac:dyDescent="0.2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 x14ac:dyDescent="0.2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 x14ac:dyDescent="0.2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 x14ac:dyDescent="0.2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 x14ac:dyDescent="0.2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 x14ac:dyDescent="0.2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 x14ac:dyDescent="0.2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 x14ac:dyDescent="0.2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 x14ac:dyDescent="0.2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 x14ac:dyDescent="0.2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 x14ac:dyDescent="0.2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 x14ac:dyDescent="0.2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 x14ac:dyDescent="0.2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 x14ac:dyDescent="0.2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 x14ac:dyDescent="0.2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 x14ac:dyDescent="0.2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 x14ac:dyDescent="0.2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 x14ac:dyDescent="0.2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 x14ac:dyDescent="0.2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 x14ac:dyDescent="0.2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 x14ac:dyDescent="0.2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 x14ac:dyDescent="0.2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 x14ac:dyDescent="0.2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 x14ac:dyDescent="0.2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 x14ac:dyDescent="0.2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 x14ac:dyDescent="0.2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 x14ac:dyDescent="0.2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 x14ac:dyDescent="0.2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 x14ac:dyDescent="0.2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 x14ac:dyDescent="0.2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 x14ac:dyDescent="0.2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 x14ac:dyDescent="0.2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 x14ac:dyDescent="0.2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 x14ac:dyDescent="0.2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 x14ac:dyDescent="0.2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 x14ac:dyDescent="0.2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 x14ac:dyDescent="0.2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 x14ac:dyDescent="0.2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 x14ac:dyDescent="0.2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 x14ac:dyDescent="0.2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 x14ac:dyDescent="0.2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 x14ac:dyDescent="0.2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 x14ac:dyDescent="0.2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 x14ac:dyDescent="0.2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 x14ac:dyDescent="0.2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 x14ac:dyDescent="0.2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 x14ac:dyDescent="0.2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 x14ac:dyDescent="0.2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 x14ac:dyDescent="0.2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 x14ac:dyDescent="0.2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 x14ac:dyDescent="0.2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 x14ac:dyDescent="0.2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 x14ac:dyDescent="0.2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 x14ac:dyDescent="0.2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 x14ac:dyDescent="0.2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 x14ac:dyDescent="0.2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 x14ac:dyDescent="0.2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 x14ac:dyDescent="0.2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6">
    <mergeCell ref="A1:K1"/>
    <mergeCell ref="A4:B4"/>
    <mergeCell ref="G4:H4"/>
    <mergeCell ref="J4:K4"/>
    <mergeCell ref="A2:K2"/>
    <mergeCell ref="D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DE3EC"/>
  </sheetPr>
  <dimension ref="A1:F17"/>
  <sheetViews>
    <sheetView showGridLines="0" topLeftCell="A2" workbookViewId="0">
      <selection activeCell="G12" sqref="G12"/>
    </sheetView>
  </sheetViews>
  <sheetFormatPr baseColWidth="10" defaultColWidth="9.140625" defaultRowHeight="12" x14ac:dyDescent="0.2"/>
  <cols>
    <col min="1" max="1" width="5" style="67" customWidth="1"/>
    <col min="2" max="3" width="14" style="67" customWidth="1"/>
    <col min="4" max="4" width="20" style="67" customWidth="1"/>
    <col min="5" max="5" width="12" style="67" customWidth="1"/>
    <col min="6" max="6" width="16" style="67" customWidth="1"/>
    <col min="7" max="16384" width="9.140625" style="67"/>
  </cols>
  <sheetData>
    <row r="1" spans="1:6" ht="32.1" customHeight="1" x14ac:dyDescent="0.2">
      <c r="A1" s="73" t="s">
        <v>115</v>
      </c>
      <c r="B1" s="66"/>
      <c r="C1" s="66"/>
      <c r="D1" s="66"/>
      <c r="E1" s="66"/>
      <c r="F1" s="66"/>
    </row>
    <row r="2" spans="1:6" ht="18" customHeight="1" x14ac:dyDescent="0.2">
      <c r="A2" s="74" t="s">
        <v>116</v>
      </c>
      <c r="B2" s="66"/>
      <c r="C2" s="66"/>
      <c r="D2" s="66"/>
      <c r="E2" s="66"/>
      <c r="F2" s="66"/>
    </row>
    <row r="4" spans="1:6" ht="21.95" customHeight="1" x14ac:dyDescent="0.2">
      <c r="A4" s="75" t="s">
        <v>70</v>
      </c>
      <c r="B4" s="75" t="s">
        <v>45</v>
      </c>
      <c r="C4" s="75" t="s">
        <v>46</v>
      </c>
      <c r="D4" s="75" t="s">
        <v>72</v>
      </c>
      <c r="E4" s="75" t="s">
        <v>117</v>
      </c>
      <c r="F4" s="75" t="s">
        <v>53</v>
      </c>
    </row>
    <row r="5" spans="1:6" ht="18" customHeight="1" x14ac:dyDescent="0.2">
      <c r="A5" s="76">
        <v>1</v>
      </c>
      <c r="B5" s="76" t="s">
        <v>54</v>
      </c>
      <c r="C5" s="76" t="s">
        <v>75</v>
      </c>
      <c r="D5" s="76" t="s">
        <v>76</v>
      </c>
      <c r="E5" s="77">
        <v>78</v>
      </c>
      <c r="F5" s="76" t="str">
        <f t="shared" ref="F5:F16" si="0">IF(E5="","—",IF(E5&gt;=160,"🔴 LÍMITE",IF(E5&gt;=138,"🟡 ALERTA",IF(E5&gt;=96,"🟠 PRECAUCIÓN","🟢 OK"))))</f>
        <v>🟢 OK</v>
      </c>
    </row>
    <row r="6" spans="1:6" ht="18" customHeight="1" x14ac:dyDescent="0.2">
      <c r="A6" s="78">
        <v>2</v>
      </c>
      <c r="B6" s="78" t="s">
        <v>56</v>
      </c>
      <c r="C6" s="78" t="s">
        <v>78</v>
      </c>
      <c r="D6" s="78" t="s">
        <v>76</v>
      </c>
      <c r="E6" s="79">
        <v>120</v>
      </c>
      <c r="F6" s="78" t="str">
        <f t="shared" si="0"/>
        <v>🟠 PRECAUCIÓN</v>
      </c>
    </row>
    <row r="7" spans="1:6" ht="18" customHeight="1" x14ac:dyDescent="0.2">
      <c r="A7" s="76">
        <v>3</v>
      </c>
      <c r="B7" s="76" t="s">
        <v>57</v>
      </c>
      <c r="C7" s="76" t="s">
        <v>79</v>
      </c>
      <c r="D7" s="76" t="s">
        <v>80</v>
      </c>
      <c r="E7" s="77">
        <v>155</v>
      </c>
      <c r="F7" s="76" t="str">
        <f t="shared" si="0"/>
        <v>🟡 ALERTA</v>
      </c>
    </row>
    <row r="8" spans="1:6" ht="18" customHeight="1" x14ac:dyDescent="0.2">
      <c r="A8" s="78">
        <v>4</v>
      </c>
      <c r="B8" s="78" t="s">
        <v>58</v>
      </c>
      <c r="C8" s="78" t="s">
        <v>81</v>
      </c>
      <c r="D8" s="78" t="s">
        <v>76</v>
      </c>
      <c r="E8" s="79">
        <v>45</v>
      </c>
      <c r="F8" s="78" t="str">
        <f t="shared" si="0"/>
        <v>🟢 OK</v>
      </c>
    </row>
    <row r="9" spans="1:6" ht="18" customHeight="1" x14ac:dyDescent="0.2">
      <c r="A9" s="76">
        <v>5</v>
      </c>
      <c r="B9" s="76" t="s">
        <v>59</v>
      </c>
      <c r="C9" s="76" t="s">
        <v>82</v>
      </c>
      <c r="D9" s="76" t="s">
        <v>80</v>
      </c>
      <c r="E9" s="77">
        <v>130</v>
      </c>
      <c r="F9" s="76" t="str">
        <f t="shared" si="0"/>
        <v>🟠 PRECAUCIÓN</v>
      </c>
    </row>
    <row r="10" spans="1:6" ht="18" customHeight="1" x14ac:dyDescent="0.2">
      <c r="A10" s="78">
        <v>6</v>
      </c>
      <c r="B10" s="78" t="s">
        <v>60</v>
      </c>
      <c r="C10" s="78" t="s">
        <v>83</v>
      </c>
      <c r="D10" s="78" t="s">
        <v>76</v>
      </c>
      <c r="E10" s="79">
        <v>28</v>
      </c>
      <c r="F10" s="78" t="str">
        <f t="shared" si="0"/>
        <v>🟢 OK</v>
      </c>
    </row>
    <row r="11" spans="1:6" ht="18" customHeight="1" x14ac:dyDescent="0.2">
      <c r="A11" s="76">
        <v>7</v>
      </c>
      <c r="B11" s="76" t="s">
        <v>61</v>
      </c>
      <c r="C11" s="76" t="s">
        <v>84</v>
      </c>
      <c r="D11" s="76" t="s">
        <v>80</v>
      </c>
      <c r="E11" s="77">
        <v>108</v>
      </c>
      <c r="F11" s="76" t="str">
        <f t="shared" si="0"/>
        <v>🟠 PRECAUCIÓN</v>
      </c>
    </row>
    <row r="12" spans="1:6" ht="18" customHeight="1" x14ac:dyDescent="0.2">
      <c r="A12" s="78">
        <v>8</v>
      </c>
      <c r="B12" s="78" t="s">
        <v>62</v>
      </c>
      <c r="C12" s="78" t="s">
        <v>85</v>
      </c>
      <c r="D12" s="78" t="s">
        <v>76</v>
      </c>
      <c r="E12" s="79">
        <v>160</v>
      </c>
      <c r="F12" s="78" t="str">
        <f t="shared" si="0"/>
        <v>🔴 LÍMITE</v>
      </c>
    </row>
    <row r="13" spans="1:6" ht="18" customHeight="1" x14ac:dyDescent="0.2">
      <c r="A13" s="76">
        <v>9</v>
      </c>
      <c r="B13" s="76" t="s">
        <v>63</v>
      </c>
      <c r="C13" s="76" t="s">
        <v>86</v>
      </c>
      <c r="D13" s="76" t="s">
        <v>80</v>
      </c>
      <c r="E13" s="77">
        <v>72</v>
      </c>
      <c r="F13" s="76" t="str">
        <f t="shared" si="0"/>
        <v>🟢 OK</v>
      </c>
    </row>
    <row r="14" spans="1:6" ht="18" customHeight="1" x14ac:dyDescent="0.2">
      <c r="A14" s="78">
        <v>10</v>
      </c>
      <c r="B14" s="78" t="s">
        <v>64</v>
      </c>
      <c r="C14" s="78" t="s">
        <v>87</v>
      </c>
      <c r="D14" s="78" t="s">
        <v>76</v>
      </c>
      <c r="E14" s="79">
        <v>18</v>
      </c>
      <c r="F14" s="78" t="str">
        <f t="shared" si="0"/>
        <v>🟢 OK</v>
      </c>
    </row>
    <row r="15" spans="1:6" ht="18" customHeight="1" x14ac:dyDescent="0.2">
      <c r="A15" s="76">
        <v>11</v>
      </c>
      <c r="B15" s="76" t="s">
        <v>65</v>
      </c>
      <c r="C15" s="76" t="s">
        <v>88</v>
      </c>
      <c r="D15" s="76" t="s">
        <v>80</v>
      </c>
      <c r="E15" s="77">
        <v>0</v>
      </c>
      <c r="F15" s="76" t="str">
        <f t="shared" si="0"/>
        <v>🟢 OK</v>
      </c>
    </row>
    <row r="16" spans="1:6" ht="18" customHeight="1" x14ac:dyDescent="0.2">
      <c r="A16" s="78">
        <v>12</v>
      </c>
      <c r="B16" s="78" t="s">
        <v>66</v>
      </c>
      <c r="C16" s="78" t="s">
        <v>89</v>
      </c>
      <c r="D16" s="78" t="s">
        <v>76</v>
      </c>
      <c r="E16" s="79">
        <v>0</v>
      </c>
      <c r="F16" s="78" t="str">
        <f t="shared" si="0"/>
        <v>🟢 OK</v>
      </c>
    </row>
    <row r="17" spans="1:5" ht="24" customHeight="1" x14ac:dyDescent="0.2">
      <c r="A17" s="80" t="s">
        <v>118</v>
      </c>
      <c r="B17" s="81"/>
      <c r="C17" s="81"/>
      <c r="D17" s="82"/>
      <c r="E17" s="83">
        <f>SUM(E5:E16)</f>
        <v>914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DE3EC"/>
  </sheetPr>
  <dimension ref="A1:F17"/>
  <sheetViews>
    <sheetView showGridLines="0" workbookViewId="0">
      <selection activeCell="G1" sqref="G1"/>
    </sheetView>
  </sheetViews>
  <sheetFormatPr baseColWidth="10" defaultColWidth="9.140625" defaultRowHeight="12" x14ac:dyDescent="0.2"/>
  <cols>
    <col min="1" max="1" width="5" style="67" customWidth="1"/>
    <col min="2" max="3" width="14" style="67" customWidth="1"/>
    <col min="4" max="4" width="20" style="67" customWidth="1"/>
    <col min="5" max="5" width="12" style="67" customWidth="1"/>
    <col min="6" max="6" width="16" style="67" customWidth="1"/>
    <col min="7" max="16384" width="9.140625" style="67"/>
  </cols>
  <sheetData>
    <row r="1" spans="1:6" ht="32.1" customHeight="1" x14ac:dyDescent="0.2">
      <c r="A1" s="73" t="s">
        <v>119</v>
      </c>
      <c r="B1" s="66"/>
      <c r="C1" s="66"/>
      <c r="D1" s="66"/>
      <c r="E1" s="66"/>
      <c r="F1" s="66"/>
    </row>
    <row r="2" spans="1:6" ht="18" customHeight="1" x14ac:dyDescent="0.2">
      <c r="A2" s="74" t="s">
        <v>120</v>
      </c>
      <c r="B2" s="66"/>
      <c r="C2" s="66"/>
      <c r="D2" s="66"/>
      <c r="E2" s="66"/>
      <c r="F2" s="66"/>
    </row>
    <row r="4" spans="1:6" ht="21.95" customHeight="1" x14ac:dyDescent="0.2">
      <c r="A4" s="75" t="s">
        <v>70</v>
      </c>
      <c r="B4" s="75" t="s">
        <v>45</v>
      </c>
      <c r="C4" s="75" t="s">
        <v>46</v>
      </c>
      <c r="D4" s="75" t="s">
        <v>72</v>
      </c>
      <c r="E4" s="75" t="s">
        <v>117</v>
      </c>
      <c r="F4" s="75" t="s">
        <v>53</v>
      </c>
    </row>
    <row r="5" spans="1:6" ht="18" customHeight="1" x14ac:dyDescent="0.2">
      <c r="A5" s="76">
        <v>1</v>
      </c>
      <c r="B5" s="76" t="s">
        <v>54</v>
      </c>
      <c r="C5" s="76" t="s">
        <v>75</v>
      </c>
      <c r="D5" s="76" t="s">
        <v>76</v>
      </c>
      <c r="E5" s="77">
        <v>55</v>
      </c>
      <c r="F5" s="76" t="str">
        <f t="shared" ref="F5:F16" si="0">IF(E5="","—",IF(E5&gt;=160,"🔴 LÍMITE",IF(E5&gt;=138,"🟡 ALERTA",IF(E5&gt;=96,"🟠 PRECAUCIÓN","🟢 OK"))))</f>
        <v>🟢 OK</v>
      </c>
    </row>
    <row r="6" spans="1:6" ht="18" customHeight="1" x14ac:dyDescent="0.2">
      <c r="A6" s="78">
        <v>2</v>
      </c>
      <c r="B6" s="78" t="s">
        <v>56</v>
      </c>
      <c r="C6" s="78" t="s">
        <v>78</v>
      </c>
      <c r="D6" s="78" t="s">
        <v>76</v>
      </c>
      <c r="E6" s="79">
        <v>88</v>
      </c>
      <c r="F6" s="78" t="str">
        <f t="shared" si="0"/>
        <v>🟢 OK</v>
      </c>
    </row>
    <row r="7" spans="1:6" ht="18" customHeight="1" x14ac:dyDescent="0.2">
      <c r="A7" s="76">
        <v>3</v>
      </c>
      <c r="B7" s="76" t="s">
        <v>57</v>
      </c>
      <c r="C7" s="76" t="s">
        <v>79</v>
      </c>
      <c r="D7" s="76" t="s">
        <v>80</v>
      </c>
      <c r="E7" s="77">
        <v>148</v>
      </c>
      <c r="F7" s="76" t="str">
        <f t="shared" si="0"/>
        <v>🟡 ALERTA</v>
      </c>
    </row>
    <row r="8" spans="1:6" ht="18" customHeight="1" x14ac:dyDescent="0.2">
      <c r="A8" s="78">
        <v>4</v>
      </c>
      <c r="B8" s="78" t="s">
        <v>58</v>
      </c>
      <c r="C8" s="78" t="s">
        <v>81</v>
      </c>
      <c r="D8" s="78" t="s">
        <v>76</v>
      </c>
      <c r="E8" s="79">
        <v>60</v>
      </c>
      <c r="F8" s="78" t="str">
        <f t="shared" si="0"/>
        <v>🟢 OK</v>
      </c>
    </row>
    <row r="9" spans="1:6" ht="18" customHeight="1" x14ac:dyDescent="0.2">
      <c r="A9" s="76">
        <v>5</v>
      </c>
      <c r="B9" s="76" t="s">
        <v>59</v>
      </c>
      <c r="C9" s="76" t="s">
        <v>82</v>
      </c>
      <c r="D9" s="76" t="s">
        <v>80</v>
      </c>
      <c r="E9" s="77">
        <v>142</v>
      </c>
      <c r="F9" s="76" t="str">
        <f t="shared" si="0"/>
        <v>🟡 ALERTA</v>
      </c>
    </row>
    <row r="10" spans="1:6" ht="18" customHeight="1" x14ac:dyDescent="0.2">
      <c r="A10" s="78">
        <v>6</v>
      </c>
      <c r="B10" s="78" t="s">
        <v>60</v>
      </c>
      <c r="C10" s="78" t="s">
        <v>83</v>
      </c>
      <c r="D10" s="78" t="s">
        <v>76</v>
      </c>
      <c r="E10" s="79">
        <v>35</v>
      </c>
      <c r="F10" s="78" t="str">
        <f t="shared" si="0"/>
        <v>🟢 OK</v>
      </c>
    </row>
    <row r="11" spans="1:6" ht="18" customHeight="1" x14ac:dyDescent="0.2">
      <c r="A11" s="76">
        <v>7</v>
      </c>
      <c r="B11" s="76" t="s">
        <v>61</v>
      </c>
      <c r="C11" s="76" t="s">
        <v>84</v>
      </c>
      <c r="D11" s="76" t="s">
        <v>80</v>
      </c>
      <c r="E11" s="77">
        <v>95</v>
      </c>
      <c r="F11" s="76" t="str">
        <f t="shared" si="0"/>
        <v>🟢 OK</v>
      </c>
    </row>
    <row r="12" spans="1:6" ht="18" customHeight="1" x14ac:dyDescent="0.2">
      <c r="A12" s="78">
        <v>8</v>
      </c>
      <c r="B12" s="78" t="s">
        <v>62</v>
      </c>
      <c r="C12" s="78" t="s">
        <v>85</v>
      </c>
      <c r="D12" s="78" t="s">
        <v>76</v>
      </c>
      <c r="E12" s="79">
        <v>165</v>
      </c>
      <c r="F12" s="78" t="str">
        <f t="shared" si="0"/>
        <v>🔴 LÍMITE</v>
      </c>
    </row>
    <row r="13" spans="1:6" ht="18" customHeight="1" x14ac:dyDescent="0.2">
      <c r="A13" s="76">
        <v>9</v>
      </c>
      <c r="B13" s="76" t="s">
        <v>63</v>
      </c>
      <c r="C13" s="76" t="s">
        <v>86</v>
      </c>
      <c r="D13" s="76" t="s">
        <v>80</v>
      </c>
      <c r="E13" s="77">
        <v>80</v>
      </c>
      <c r="F13" s="76" t="str">
        <f t="shared" si="0"/>
        <v>🟢 OK</v>
      </c>
    </row>
    <row r="14" spans="1:6" ht="18" customHeight="1" x14ac:dyDescent="0.2">
      <c r="A14" s="78">
        <v>10</v>
      </c>
      <c r="B14" s="78" t="s">
        <v>64</v>
      </c>
      <c r="C14" s="78" t="s">
        <v>87</v>
      </c>
      <c r="D14" s="78" t="s">
        <v>76</v>
      </c>
      <c r="E14" s="79">
        <v>25</v>
      </c>
      <c r="F14" s="78" t="str">
        <f t="shared" si="0"/>
        <v>🟢 OK</v>
      </c>
    </row>
    <row r="15" spans="1:6" ht="18" customHeight="1" x14ac:dyDescent="0.2">
      <c r="A15" s="76">
        <v>11</v>
      </c>
      <c r="B15" s="76" t="s">
        <v>65</v>
      </c>
      <c r="C15" s="76" t="s">
        <v>88</v>
      </c>
      <c r="D15" s="76" t="s">
        <v>80</v>
      </c>
      <c r="E15" s="77">
        <v>0</v>
      </c>
      <c r="F15" s="76" t="str">
        <f t="shared" si="0"/>
        <v>🟢 OK</v>
      </c>
    </row>
    <row r="16" spans="1:6" ht="18" customHeight="1" x14ac:dyDescent="0.2">
      <c r="A16" s="78">
        <v>12</v>
      </c>
      <c r="B16" s="78" t="s">
        <v>66</v>
      </c>
      <c r="C16" s="78" t="s">
        <v>89</v>
      </c>
      <c r="D16" s="78" t="s">
        <v>76</v>
      </c>
      <c r="E16" s="79">
        <v>0</v>
      </c>
      <c r="F16" s="78" t="str">
        <f t="shared" si="0"/>
        <v>🟢 OK</v>
      </c>
    </row>
    <row r="17" spans="1:5" ht="24" customHeight="1" x14ac:dyDescent="0.2">
      <c r="A17" s="80" t="s">
        <v>118</v>
      </c>
      <c r="B17" s="81"/>
      <c r="C17" s="81"/>
      <c r="D17" s="82"/>
      <c r="E17" s="83">
        <f>SUM(E5:E16)</f>
        <v>893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8B8"/>
  </sheetPr>
  <dimension ref="A1:F17"/>
  <sheetViews>
    <sheetView showGridLines="0" topLeftCell="A2" workbookViewId="0">
      <selection activeCell="L11" sqref="L11"/>
    </sheetView>
  </sheetViews>
  <sheetFormatPr baseColWidth="10" defaultColWidth="9.140625" defaultRowHeight="12" x14ac:dyDescent="0.2"/>
  <cols>
    <col min="1" max="1" width="5" style="67" customWidth="1"/>
    <col min="2" max="3" width="14" style="67" customWidth="1"/>
    <col min="4" max="4" width="20" style="67" customWidth="1"/>
    <col min="5" max="5" width="12" style="67" customWidth="1"/>
    <col min="6" max="6" width="16" style="67" customWidth="1"/>
    <col min="7" max="16384" width="9.140625" style="67"/>
  </cols>
  <sheetData>
    <row r="1" spans="1:6" ht="32.1" customHeight="1" x14ac:dyDescent="0.2">
      <c r="A1" s="84" t="s">
        <v>121</v>
      </c>
      <c r="B1" s="66"/>
      <c r="C1" s="66"/>
      <c r="D1" s="66"/>
      <c r="E1" s="66"/>
      <c r="F1" s="66"/>
    </row>
    <row r="2" spans="1:6" ht="18" customHeight="1" x14ac:dyDescent="0.2">
      <c r="A2" s="85" t="s">
        <v>122</v>
      </c>
      <c r="B2" s="66"/>
      <c r="C2" s="66"/>
      <c r="D2" s="66"/>
      <c r="E2" s="66"/>
      <c r="F2" s="66"/>
    </row>
    <row r="4" spans="1:6" ht="21.95" customHeight="1" x14ac:dyDescent="0.2">
      <c r="A4" s="86" t="s">
        <v>70</v>
      </c>
      <c r="B4" s="86" t="s">
        <v>45</v>
      </c>
      <c r="C4" s="86" t="s">
        <v>46</v>
      </c>
      <c r="D4" s="86" t="s">
        <v>72</v>
      </c>
      <c r="E4" s="86" t="s">
        <v>117</v>
      </c>
      <c r="F4" s="86" t="s">
        <v>53</v>
      </c>
    </row>
    <row r="5" spans="1:6" ht="18" customHeight="1" x14ac:dyDescent="0.2">
      <c r="A5" s="76">
        <v>1</v>
      </c>
      <c r="B5" s="76" t="s">
        <v>54</v>
      </c>
      <c r="C5" s="76" t="s">
        <v>75</v>
      </c>
      <c r="D5" s="76" t="s">
        <v>76</v>
      </c>
      <c r="E5" s="87">
        <v>42</v>
      </c>
      <c r="F5" s="76" t="str">
        <f t="shared" ref="F5:F16" si="0">IF(E5="","—",IF(E5&gt;=160,"🔴 LÍMITE",IF(E5&gt;=138,"🟡 ALERTA",IF(E5&gt;=96,"🟠 PRECAUCIÓN","🟢 OK"))))</f>
        <v>🟢 OK</v>
      </c>
    </row>
    <row r="6" spans="1:6" ht="18" customHeight="1" x14ac:dyDescent="0.2">
      <c r="A6" s="78">
        <v>2</v>
      </c>
      <c r="B6" s="78" t="s">
        <v>56</v>
      </c>
      <c r="C6" s="78" t="s">
        <v>78</v>
      </c>
      <c r="D6" s="78" t="s">
        <v>76</v>
      </c>
      <c r="E6" s="88">
        <v>98</v>
      </c>
      <c r="F6" s="78" t="str">
        <f t="shared" si="0"/>
        <v>🟠 PRECAUCIÓN</v>
      </c>
    </row>
    <row r="7" spans="1:6" ht="18" customHeight="1" x14ac:dyDescent="0.2">
      <c r="A7" s="76">
        <v>3</v>
      </c>
      <c r="B7" s="76" t="s">
        <v>57</v>
      </c>
      <c r="C7" s="76" t="s">
        <v>79</v>
      </c>
      <c r="D7" s="76" t="s">
        <v>80</v>
      </c>
      <c r="E7" s="87">
        <v>162</v>
      </c>
      <c r="F7" s="76" t="str">
        <f t="shared" si="0"/>
        <v>🔴 LÍMITE</v>
      </c>
    </row>
    <row r="8" spans="1:6" ht="18" customHeight="1" x14ac:dyDescent="0.2">
      <c r="A8" s="78">
        <v>4</v>
      </c>
      <c r="B8" s="78" t="s">
        <v>58</v>
      </c>
      <c r="C8" s="78" t="s">
        <v>81</v>
      </c>
      <c r="D8" s="78" t="s">
        <v>76</v>
      </c>
      <c r="E8" s="88">
        <v>55</v>
      </c>
      <c r="F8" s="78" t="str">
        <f t="shared" si="0"/>
        <v>🟢 OK</v>
      </c>
    </row>
    <row r="9" spans="1:6" ht="18" customHeight="1" x14ac:dyDescent="0.2">
      <c r="A9" s="76">
        <v>5</v>
      </c>
      <c r="B9" s="76" t="s">
        <v>59</v>
      </c>
      <c r="C9" s="76" t="s">
        <v>82</v>
      </c>
      <c r="D9" s="76" t="s">
        <v>80</v>
      </c>
      <c r="E9" s="87">
        <v>137</v>
      </c>
      <c r="F9" s="76" t="str">
        <f t="shared" si="0"/>
        <v>🟠 PRECAUCIÓN</v>
      </c>
    </row>
    <row r="10" spans="1:6" ht="18" customHeight="1" x14ac:dyDescent="0.2">
      <c r="A10" s="78">
        <v>6</v>
      </c>
      <c r="B10" s="78" t="s">
        <v>60</v>
      </c>
      <c r="C10" s="78" t="s">
        <v>83</v>
      </c>
      <c r="D10" s="78" t="s">
        <v>76</v>
      </c>
      <c r="E10" s="88">
        <v>31</v>
      </c>
      <c r="F10" s="78" t="str">
        <f t="shared" si="0"/>
        <v>🟢 OK</v>
      </c>
    </row>
    <row r="11" spans="1:6" ht="18" customHeight="1" x14ac:dyDescent="0.2">
      <c r="A11" s="76">
        <v>7</v>
      </c>
      <c r="B11" s="76" t="s">
        <v>61</v>
      </c>
      <c r="C11" s="76" t="s">
        <v>84</v>
      </c>
      <c r="D11" s="76" t="s">
        <v>80</v>
      </c>
      <c r="E11" s="87">
        <v>112</v>
      </c>
      <c r="F11" s="76" t="str">
        <f t="shared" si="0"/>
        <v>🟠 PRECAUCIÓN</v>
      </c>
    </row>
    <row r="12" spans="1:6" ht="18" customHeight="1" x14ac:dyDescent="0.2">
      <c r="A12" s="78">
        <v>8</v>
      </c>
      <c r="B12" s="78" t="s">
        <v>62</v>
      </c>
      <c r="C12" s="78" t="s">
        <v>85</v>
      </c>
      <c r="D12" s="78" t="s">
        <v>76</v>
      </c>
      <c r="E12" s="88">
        <v>165</v>
      </c>
      <c r="F12" s="78" t="str">
        <f t="shared" si="0"/>
        <v>🔴 LÍMITE</v>
      </c>
    </row>
    <row r="13" spans="1:6" ht="18" customHeight="1" x14ac:dyDescent="0.2">
      <c r="A13" s="76">
        <v>9</v>
      </c>
      <c r="B13" s="76" t="s">
        <v>63</v>
      </c>
      <c r="C13" s="76" t="s">
        <v>86</v>
      </c>
      <c r="D13" s="76" t="s">
        <v>80</v>
      </c>
      <c r="E13" s="87">
        <v>78</v>
      </c>
      <c r="F13" s="76" t="str">
        <f t="shared" si="0"/>
        <v>🟢 OK</v>
      </c>
    </row>
    <row r="14" spans="1:6" ht="18" customHeight="1" x14ac:dyDescent="0.2">
      <c r="A14" s="78">
        <v>10</v>
      </c>
      <c r="B14" s="78" t="s">
        <v>64</v>
      </c>
      <c r="C14" s="78" t="s">
        <v>87</v>
      </c>
      <c r="D14" s="78" t="s">
        <v>76</v>
      </c>
      <c r="E14" s="88">
        <v>22</v>
      </c>
      <c r="F14" s="78" t="str">
        <f t="shared" si="0"/>
        <v>🟢 OK</v>
      </c>
    </row>
    <row r="15" spans="1:6" ht="18" customHeight="1" x14ac:dyDescent="0.2">
      <c r="A15" s="76">
        <v>11</v>
      </c>
      <c r="B15" s="76" t="s">
        <v>65</v>
      </c>
      <c r="C15" s="76" t="s">
        <v>88</v>
      </c>
      <c r="D15" s="76" t="s">
        <v>80</v>
      </c>
      <c r="E15" s="87">
        <v>0</v>
      </c>
      <c r="F15" s="76" t="str">
        <f t="shared" si="0"/>
        <v>🟢 OK</v>
      </c>
    </row>
    <row r="16" spans="1:6" ht="18" customHeight="1" x14ac:dyDescent="0.2">
      <c r="A16" s="78">
        <v>12</v>
      </c>
      <c r="B16" s="78" t="s">
        <v>66</v>
      </c>
      <c r="C16" s="78" t="s">
        <v>89</v>
      </c>
      <c r="D16" s="78" t="s">
        <v>76</v>
      </c>
      <c r="E16" s="88">
        <v>0</v>
      </c>
      <c r="F16" s="78" t="str">
        <f t="shared" si="0"/>
        <v>🟢 OK</v>
      </c>
    </row>
    <row r="17" spans="1:5" ht="24" customHeight="1" x14ac:dyDescent="0.2">
      <c r="A17" s="80" t="s">
        <v>118</v>
      </c>
      <c r="B17" s="81"/>
      <c r="C17" s="81"/>
      <c r="D17" s="82"/>
      <c r="E17" s="83">
        <f>SUM(E5:E16)</f>
        <v>902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8EDF5"/>
  </sheetPr>
  <dimension ref="A1:F17"/>
  <sheetViews>
    <sheetView showGridLines="0" workbookViewId="0">
      <selection activeCell="H7" sqref="H7"/>
    </sheetView>
  </sheetViews>
  <sheetFormatPr baseColWidth="10" defaultColWidth="9.140625" defaultRowHeight="12" x14ac:dyDescent="0.2"/>
  <cols>
    <col min="1" max="1" width="5" style="67" customWidth="1"/>
    <col min="2" max="3" width="14" style="67" customWidth="1"/>
    <col min="4" max="4" width="20" style="67" customWidth="1"/>
    <col min="5" max="5" width="12" style="67" customWidth="1"/>
    <col min="6" max="6" width="16" style="67" customWidth="1"/>
    <col min="7" max="16384" width="9.140625" style="67"/>
  </cols>
  <sheetData>
    <row r="1" spans="1:6" ht="32.1" customHeight="1" x14ac:dyDescent="0.2">
      <c r="A1" s="91" t="s">
        <v>123</v>
      </c>
      <c r="B1" s="66"/>
      <c r="C1" s="66"/>
      <c r="D1" s="66"/>
      <c r="E1" s="66"/>
      <c r="F1" s="66"/>
    </row>
    <row r="2" spans="1:6" ht="18" customHeight="1" x14ac:dyDescent="0.2">
      <c r="A2" s="92" t="s">
        <v>124</v>
      </c>
      <c r="B2" s="66"/>
      <c r="C2" s="66"/>
      <c r="D2" s="66"/>
      <c r="E2" s="66"/>
      <c r="F2" s="66"/>
    </row>
    <row r="4" spans="1:6" ht="21.95" customHeight="1" x14ac:dyDescent="0.2">
      <c r="A4" s="93" t="s">
        <v>70</v>
      </c>
      <c r="B4" s="93" t="s">
        <v>45</v>
      </c>
      <c r="C4" s="93" t="s">
        <v>46</v>
      </c>
      <c r="D4" s="93" t="s">
        <v>72</v>
      </c>
      <c r="E4" s="93" t="s">
        <v>117</v>
      </c>
      <c r="F4" s="93" t="s">
        <v>53</v>
      </c>
    </row>
    <row r="5" spans="1:6" ht="18" customHeight="1" x14ac:dyDescent="0.2">
      <c r="A5" s="76">
        <v>1</v>
      </c>
      <c r="B5" s="76" t="s">
        <v>54</v>
      </c>
      <c r="C5" s="76" t="s">
        <v>75</v>
      </c>
      <c r="D5" s="76" t="s">
        <v>76</v>
      </c>
      <c r="E5" s="77"/>
      <c r="F5" s="76" t="str">
        <f t="shared" ref="F5:F16" si="0">IF(E5="","—",IF(E5&gt;=160,"🔴 LÍMITE",IF(E5&gt;=138,"🟡 ALERTA",IF(E5&gt;=96,"🟠 PRECAUCIÓN","🟢 OK"))))</f>
        <v>—</v>
      </c>
    </row>
    <row r="6" spans="1:6" ht="18" customHeight="1" x14ac:dyDescent="0.2">
      <c r="A6" s="78">
        <v>2</v>
      </c>
      <c r="B6" s="78" t="s">
        <v>56</v>
      </c>
      <c r="C6" s="78" t="s">
        <v>78</v>
      </c>
      <c r="D6" s="78" t="s">
        <v>76</v>
      </c>
      <c r="E6" s="79"/>
      <c r="F6" s="78" t="str">
        <f t="shared" si="0"/>
        <v>—</v>
      </c>
    </row>
    <row r="7" spans="1:6" ht="18" customHeight="1" x14ac:dyDescent="0.2">
      <c r="A7" s="76">
        <v>3</v>
      </c>
      <c r="B7" s="76" t="s">
        <v>57</v>
      </c>
      <c r="C7" s="76" t="s">
        <v>79</v>
      </c>
      <c r="D7" s="76" t="s">
        <v>80</v>
      </c>
      <c r="E7" s="77"/>
      <c r="F7" s="76" t="str">
        <f t="shared" si="0"/>
        <v>—</v>
      </c>
    </row>
    <row r="8" spans="1:6" ht="18" customHeight="1" x14ac:dyDescent="0.2">
      <c r="A8" s="78">
        <v>4</v>
      </c>
      <c r="B8" s="78" t="s">
        <v>58</v>
      </c>
      <c r="C8" s="78" t="s">
        <v>81</v>
      </c>
      <c r="D8" s="78" t="s">
        <v>76</v>
      </c>
      <c r="E8" s="79"/>
      <c r="F8" s="78" t="str">
        <f t="shared" si="0"/>
        <v>—</v>
      </c>
    </row>
    <row r="9" spans="1:6" ht="18" customHeight="1" x14ac:dyDescent="0.2">
      <c r="A9" s="76">
        <v>5</v>
      </c>
      <c r="B9" s="76" t="s">
        <v>59</v>
      </c>
      <c r="C9" s="76" t="s">
        <v>82</v>
      </c>
      <c r="D9" s="76" t="s">
        <v>80</v>
      </c>
      <c r="E9" s="77"/>
      <c r="F9" s="76" t="str">
        <f t="shared" si="0"/>
        <v>—</v>
      </c>
    </row>
    <row r="10" spans="1:6" ht="18" customHeight="1" x14ac:dyDescent="0.2">
      <c r="A10" s="78">
        <v>6</v>
      </c>
      <c r="B10" s="78" t="s">
        <v>60</v>
      </c>
      <c r="C10" s="78" t="s">
        <v>83</v>
      </c>
      <c r="D10" s="78" t="s">
        <v>76</v>
      </c>
      <c r="E10" s="79"/>
      <c r="F10" s="78" t="str">
        <f t="shared" si="0"/>
        <v>—</v>
      </c>
    </row>
    <row r="11" spans="1:6" ht="18" customHeight="1" x14ac:dyDescent="0.2">
      <c r="A11" s="76">
        <v>7</v>
      </c>
      <c r="B11" s="76" t="s">
        <v>61</v>
      </c>
      <c r="C11" s="76" t="s">
        <v>84</v>
      </c>
      <c r="D11" s="76" t="s">
        <v>80</v>
      </c>
      <c r="E11" s="77"/>
      <c r="F11" s="76" t="str">
        <f t="shared" si="0"/>
        <v>—</v>
      </c>
    </row>
    <row r="12" spans="1:6" ht="18" customHeight="1" x14ac:dyDescent="0.2">
      <c r="A12" s="78">
        <v>8</v>
      </c>
      <c r="B12" s="78" t="s">
        <v>62</v>
      </c>
      <c r="C12" s="78" t="s">
        <v>85</v>
      </c>
      <c r="D12" s="78" t="s">
        <v>76</v>
      </c>
      <c r="E12" s="79"/>
      <c r="F12" s="78" t="str">
        <f t="shared" si="0"/>
        <v>—</v>
      </c>
    </row>
    <row r="13" spans="1:6" ht="18" customHeight="1" x14ac:dyDescent="0.2">
      <c r="A13" s="76">
        <v>9</v>
      </c>
      <c r="B13" s="76" t="s">
        <v>63</v>
      </c>
      <c r="C13" s="76" t="s">
        <v>86</v>
      </c>
      <c r="D13" s="76" t="s">
        <v>80</v>
      </c>
      <c r="E13" s="77"/>
      <c r="F13" s="76" t="str">
        <f t="shared" si="0"/>
        <v>—</v>
      </c>
    </row>
    <row r="14" spans="1:6" ht="18" customHeight="1" x14ac:dyDescent="0.2">
      <c r="A14" s="78">
        <v>10</v>
      </c>
      <c r="B14" s="78" t="s">
        <v>64</v>
      </c>
      <c r="C14" s="78" t="s">
        <v>87</v>
      </c>
      <c r="D14" s="78" t="s">
        <v>76</v>
      </c>
      <c r="E14" s="79"/>
      <c r="F14" s="78" t="str">
        <f t="shared" si="0"/>
        <v>—</v>
      </c>
    </row>
    <row r="15" spans="1:6" ht="18" customHeight="1" x14ac:dyDescent="0.2">
      <c r="A15" s="76">
        <v>11</v>
      </c>
      <c r="B15" s="76" t="s">
        <v>65</v>
      </c>
      <c r="C15" s="76" t="s">
        <v>88</v>
      </c>
      <c r="D15" s="76" t="s">
        <v>80</v>
      </c>
      <c r="E15" s="77"/>
      <c r="F15" s="76" t="str">
        <f t="shared" si="0"/>
        <v>—</v>
      </c>
    </row>
    <row r="16" spans="1:6" ht="18" customHeight="1" x14ac:dyDescent="0.2">
      <c r="A16" s="78">
        <v>12</v>
      </c>
      <c r="B16" s="78" t="s">
        <v>66</v>
      </c>
      <c r="C16" s="78" t="s">
        <v>89</v>
      </c>
      <c r="D16" s="78" t="s">
        <v>76</v>
      </c>
      <c r="E16" s="79"/>
      <c r="F16" s="78" t="str">
        <f t="shared" si="0"/>
        <v>—</v>
      </c>
    </row>
    <row r="17" spans="1:5" ht="24" customHeight="1" x14ac:dyDescent="0.2">
      <c r="A17" s="80" t="s">
        <v>118</v>
      </c>
      <c r="B17" s="81"/>
      <c r="C17" s="81"/>
      <c r="D17" s="82"/>
      <c r="E17" s="83">
        <f>SUM(E5:E16)</f>
        <v>0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8EDF5"/>
  </sheetPr>
  <dimension ref="A1:F17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5" customWidth="1"/>
    <col min="2" max="3" width="14" customWidth="1"/>
    <col min="4" max="4" width="20" customWidth="1"/>
    <col min="5" max="5" width="12" customWidth="1"/>
    <col min="6" max="6" width="16" customWidth="1"/>
  </cols>
  <sheetData>
    <row r="1" spans="1:6" ht="32.1" customHeight="1" x14ac:dyDescent="0.25">
      <c r="A1" s="60" t="s">
        <v>125</v>
      </c>
      <c r="B1" s="42"/>
      <c r="C1" s="42"/>
      <c r="D1" s="42"/>
      <c r="E1" s="42"/>
      <c r="F1" s="42"/>
    </row>
    <row r="2" spans="1:6" ht="18" customHeight="1" x14ac:dyDescent="0.25">
      <c r="A2" s="59" t="s">
        <v>126</v>
      </c>
      <c r="B2" s="42"/>
      <c r="C2" s="42"/>
      <c r="D2" s="42"/>
      <c r="E2" s="42"/>
      <c r="F2" s="42"/>
    </row>
    <row r="4" spans="1:6" ht="21.95" customHeight="1" x14ac:dyDescent="0.25">
      <c r="A4" s="11" t="s">
        <v>70</v>
      </c>
      <c r="B4" s="11" t="s">
        <v>45</v>
      </c>
      <c r="C4" s="11" t="s">
        <v>46</v>
      </c>
      <c r="D4" s="11" t="s">
        <v>72</v>
      </c>
      <c r="E4" s="11" t="s">
        <v>117</v>
      </c>
      <c r="F4" s="11" t="s">
        <v>53</v>
      </c>
    </row>
    <row r="5" spans="1:6" ht="18" customHeight="1" x14ac:dyDescent="0.25">
      <c r="A5" s="2">
        <v>1</v>
      </c>
      <c r="B5" s="2" t="s">
        <v>54</v>
      </c>
      <c r="C5" s="2" t="s">
        <v>75</v>
      </c>
      <c r="D5" s="2" t="s">
        <v>76</v>
      </c>
      <c r="E5" s="8"/>
      <c r="F5" s="2" t="str">
        <f t="shared" ref="F5:F16" si="0">IF(E5="","—",IF(E5&gt;=160,"🔴 LÍMITE",IF(E5&gt;=138,"🟡 ALERTA",IF(E5&gt;=96,"🟠 PRECAUCIÓN","🟢 OK"))))</f>
        <v>—</v>
      </c>
    </row>
    <row r="6" spans="1:6" ht="18" customHeight="1" x14ac:dyDescent="0.25">
      <c r="A6" s="4">
        <v>2</v>
      </c>
      <c r="B6" s="4" t="s">
        <v>56</v>
      </c>
      <c r="C6" s="4" t="s">
        <v>78</v>
      </c>
      <c r="D6" s="4" t="s">
        <v>76</v>
      </c>
      <c r="E6" s="9"/>
      <c r="F6" s="4" t="str">
        <f t="shared" si="0"/>
        <v>—</v>
      </c>
    </row>
    <row r="7" spans="1:6" ht="18" customHeight="1" x14ac:dyDescent="0.25">
      <c r="A7" s="2">
        <v>3</v>
      </c>
      <c r="B7" s="2" t="s">
        <v>57</v>
      </c>
      <c r="C7" s="2" t="s">
        <v>79</v>
      </c>
      <c r="D7" s="2" t="s">
        <v>80</v>
      </c>
      <c r="E7" s="8"/>
      <c r="F7" s="2" t="str">
        <f t="shared" si="0"/>
        <v>—</v>
      </c>
    </row>
    <row r="8" spans="1:6" ht="18" customHeight="1" x14ac:dyDescent="0.25">
      <c r="A8" s="4">
        <v>4</v>
      </c>
      <c r="B8" s="4" t="s">
        <v>58</v>
      </c>
      <c r="C8" s="4" t="s">
        <v>81</v>
      </c>
      <c r="D8" s="4" t="s">
        <v>76</v>
      </c>
      <c r="E8" s="9"/>
      <c r="F8" s="4" t="str">
        <f t="shared" si="0"/>
        <v>—</v>
      </c>
    </row>
    <row r="9" spans="1:6" ht="18" customHeight="1" x14ac:dyDescent="0.25">
      <c r="A9" s="2">
        <v>5</v>
      </c>
      <c r="B9" s="2" t="s">
        <v>59</v>
      </c>
      <c r="C9" s="2" t="s">
        <v>82</v>
      </c>
      <c r="D9" s="2" t="s">
        <v>80</v>
      </c>
      <c r="E9" s="8"/>
      <c r="F9" s="2" t="str">
        <f t="shared" si="0"/>
        <v>—</v>
      </c>
    </row>
    <row r="10" spans="1:6" ht="18" customHeight="1" x14ac:dyDescent="0.25">
      <c r="A10" s="4">
        <v>6</v>
      </c>
      <c r="B10" s="4" t="s">
        <v>60</v>
      </c>
      <c r="C10" s="4" t="s">
        <v>83</v>
      </c>
      <c r="D10" s="4" t="s">
        <v>76</v>
      </c>
      <c r="E10" s="9"/>
      <c r="F10" s="4" t="str">
        <f t="shared" si="0"/>
        <v>—</v>
      </c>
    </row>
    <row r="11" spans="1:6" ht="18" customHeight="1" x14ac:dyDescent="0.25">
      <c r="A11" s="2">
        <v>7</v>
      </c>
      <c r="B11" s="2" t="s">
        <v>61</v>
      </c>
      <c r="C11" s="2" t="s">
        <v>84</v>
      </c>
      <c r="D11" s="2" t="s">
        <v>80</v>
      </c>
      <c r="E11" s="8"/>
      <c r="F11" s="2" t="str">
        <f t="shared" si="0"/>
        <v>—</v>
      </c>
    </row>
    <row r="12" spans="1:6" ht="18" customHeight="1" x14ac:dyDescent="0.25">
      <c r="A12" s="4">
        <v>8</v>
      </c>
      <c r="B12" s="4" t="s">
        <v>62</v>
      </c>
      <c r="C12" s="4" t="s">
        <v>85</v>
      </c>
      <c r="D12" s="4" t="s">
        <v>76</v>
      </c>
      <c r="E12" s="9"/>
      <c r="F12" s="4" t="str">
        <f t="shared" si="0"/>
        <v>—</v>
      </c>
    </row>
    <row r="13" spans="1:6" ht="18" customHeight="1" x14ac:dyDescent="0.25">
      <c r="A13" s="2">
        <v>9</v>
      </c>
      <c r="B13" s="2" t="s">
        <v>63</v>
      </c>
      <c r="C13" s="2" t="s">
        <v>86</v>
      </c>
      <c r="D13" s="2" t="s">
        <v>80</v>
      </c>
      <c r="E13" s="8"/>
      <c r="F13" s="2" t="str">
        <f t="shared" si="0"/>
        <v>—</v>
      </c>
    </row>
    <row r="14" spans="1:6" ht="18" customHeight="1" x14ac:dyDescent="0.25">
      <c r="A14" s="4">
        <v>10</v>
      </c>
      <c r="B14" s="4" t="s">
        <v>64</v>
      </c>
      <c r="C14" s="4" t="s">
        <v>87</v>
      </c>
      <c r="D14" s="4" t="s">
        <v>76</v>
      </c>
      <c r="E14" s="9"/>
      <c r="F14" s="4" t="str">
        <f t="shared" si="0"/>
        <v>—</v>
      </c>
    </row>
    <row r="15" spans="1:6" ht="18" customHeight="1" x14ac:dyDescent="0.25">
      <c r="A15" s="2">
        <v>11</v>
      </c>
      <c r="B15" s="2" t="s">
        <v>65</v>
      </c>
      <c r="C15" s="2" t="s">
        <v>88</v>
      </c>
      <c r="D15" s="2" t="s">
        <v>80</v>
      </c>
      <c r="E15" s="8"/>
      <c r="F15" s="2" t="str">
        <f t="shared" si="0"/>
        <v>—</v>
      </c>
    </row>
    <row r="16" spans="1:6" ht="18" customHeight="1" x14ac:dyDescent="0.25">
      <c r="A16" s="4">
        <v>12</v>
      </c>
      <c r="B16" s="4" t="s">
        <v>66</v>
      </c>
      <c r="C16" s="4" t="s">
        <v>89</v>
      </c>
      <c r="D16" s="4" t="s">
        <v>76</v>
      </c>
      <c r="E16" s="9"/>
      <c r="F16" s="4" t="str">
        <f t="shared" si="0"/>
        <v>—</v>
      </c>
    </row>
    <row r="17" spans="1:5" ht="24" customHeight="1" x14ac:dyDescent="0.25">
      <c r="A17" s="56" t="s">
        <v>118</v>
      </c>
      <c r="B17" s="57"/>
      <c r="C17" s="57"/>
      <c r="D17" s="58"/>
      <c r="E17" s="10">
        <f>SUM(E5:E16)</f>
        <v>0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8EDF5"/>
  </sheetPr>
  <dimension ref="A1:F17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3" width="14" customWidth="1"/>
    <col min="4" max="4" width="20" customWidth="1"/>
    <col min="5" max="5" width="12" customWidth="1"/>
    <col min="6" max="6" width="16" customWidth="1"/>
  </cols>
  <sheetData>
    <row r="1" spans="1:6" ht="32.1" customHeight="1" x14ac:dyDescent="0.25">
      <c r="A1" s="60" t="s">
        <v>127</v>
      </c>
      <c r="B1" s="42"/>
      <c r="C1" s="42"/>
      <c r="D1" s="42"/>
      <c r="E1" s="42"/>
      <c r="F1" s="42"/>
    </row>
    <row r="2" spans="1:6" ht="18" customHeight="1" x14ac:dyDescent="0.25">
      <c r="A2" s="59" t="s">
        <v>128</v>
      </c>
      <c r="B2" s="42"/>
      <c r="C2" s="42"/>
      <c r="D2" s="42"/>
      <c r="E2" s="42"/>
      <c r="F2" s="42"/>
    </row>
    <row r="4" spans="1:6" ht="21.95" customHeight="1" x14ac:dyDescent="0.25">
      <c r="A4" s="11" t="s">
        <v>70</v>
      </c>
      <c r="B4" s="11" t="s">
        <v>45</v>
      </c>
      <c r="C4" s="11" t="s">
        <v>46</v>
      </c>
      <c r="D4" s="11" t="s">
        <v>72</v>
      </c>
      <c r="E4" s="11" t="s">
        <v>117</v>
      </c>
      <c r="F4" s="11" t="s">
        <v>53</v>
      </c>
    </row>
    <row r="5" spans="1:6" ht="18" customHeight="1" x14ac:dyDescent="0.25">
      <c r="A5" s="2">
        <v>1</v>
      </c>
      <c r="B5" s="2" t="s">
        <v>54</v>
      </c>
      <c r="C5" s="2" t="s">
        <v>75</v>
      </c>
      <c r="D5" s="2" t="s">
        <v>76</v>
      </c>
      <c r="E5" s="8"/>
      <c r="F5" s="2" t="str">
        <f t="shared" ref="F5:F16" si="0">IF(E5="","—",IF(E5&gt;=160,"🔴 LÍMITE",IF(E5&gt;=138,"🟡 ALERTA",IF(E5&gt;=96,"🟠 PRECAUCIÓN","🟢 OK"))))</f>
        <v>—</v>
      </c>
    </row>
    <row r="6" spans="1:6" ht="18" customHeight="1" x14ac:dyDescent="0.25">
      <c r="A6" s="4">
        <v>2</v>
      </c>
      <c r="B6" s="4" t="s">
        <v>56</v>
      </c>
      <c r="C6" s="4" t="s">
        <v>78</v>
      </c>
      <c r="D6" s="4" t="s">
        <v>76</v>
      </c>
      <c r="E6" s="9"/>
      <c r="F6" s="4" t="str">
        <f t="shared" si="0"/>
        <v>—</v>
      </c>
    </row>
    <row r="7" spans="1:6" ht="18" customHeight="1" x14ac:dyDescent="0.25">
      <c r="A7" s="2">
        <v>3</v>
      </c>
      <c r="B7" s="2" t="s">
        <v>57</v>
      </c>
      <c r="C7" s="2" t="s">
        <v>79</v>
      </c>
      <c r="D7" s="2" t="s">
        <v>80</v>
      </c>
      <c r="E7" s="8"/>
      <c r="F7" s="2" t="str">
        <f t="shared" si="0"/>
        <v>—</v>
      </c>
    </row>
    <row r="8" spans="1:6" ht="18" customHeight="1" x14ac:dyDescent="0.25">
      <c r="A8" s="4">
        <v>4</v>
      </c>
      <c r="B8" s="4" t="s">
        <v>58</v>
      </c>
      <c r="C8" s="4" t="s">
        <v>81</v>
      </c>
      <c r="D8" s="4" t="s">
        <v>76</v>
      </c>
      <c r="E8" s="9"/>
      <c r="F8" s="4" t="str">
        <f t="shared" si="0"/>
        <v>—</v>
      </c>
    </row>
    <row r="9" spans="1:6" ht="18" customHeight="1" x14ac:dyDescent="0.25">
      <c r="A9" s="2">
        <v>5</v>
      </c>
      <c r="B9" s="2" t="s">
        <v>59</v>
      </c>
      <c r="C9" s="2" t="s">
        <v>82</v>
      </c>
      <c r="D9" s="2" t="s">
        <v>80</v>
      </c>
      <c r="E9" s="8"/>
      <c r="F9" s="2" t="str">
        <f t="shared" si="0"/>
        <v>—</v>
      </c>
    </row>
    <row r="10" spans="1:6" ht="18" customHeight="1" x14ac:dyDescent="0.25">
      <c r="A10" s="4">
        <v>6</v>
      </c>
      <c r="B10" s="4" t="s">
        <v>60</v>
      </c>
      <c r="C10" s="4" t="s">
        <v>83</v>
      </c>
      <c r="D10" s="4" t="s">
        <v>76</v>
      </c>
      <c r="E10" s="9"/>
      <c r="F10" s="4" t="str">
        <f t="shared" si="0"/>
        <v>—</v>
      </c>
    </row>
    <row r="11" spans="1:6" ht="18" customHeight="1" x14ac:dyDescent="0.25">
      <c r="A11" s="2">
        <v>7</v>
      </c>
      <c r="B11" s="2" t="s">
        <v>61</v>
      </c>
      <c r="C11" s="2" t="s">
        <v>84</v>
      </c>
      <c r="D11" s="2" t="s">
        <v>80</v>
      </c>
      <c r="E11" s="8"/>
      <c r="F11" s="2" t="str">
        <f t="shared" si="0"/>
        <v>—</v>
      </c>
    </row>
    <row r="12" spans="1:6" ht="18" customHeight="1" x14ac:dyDescent="0.25">
      <c r="A12" s="4">
        <v>8</v>
      </c>
      <c r="B12" s="4" t="s">
        <v>62</v>
      </c>
      <c r="C12" s="4" t="s">
        <v>85</v>
      </c>
      <c r="D12" s="4" t="s">
        <v>76</v>
      </c>
      <c r="E12" s="9"/>
      <c r="F12" s="4" t="str">
        <f t="shared" si="0"/>
        <v>—</v>
      </c>
    </row>
    <row r="13" spans="1:6" ht="18" customHeight="1" x14ac:dyDescent="0.25">
      <c r="A13" s="2">
        <v>9</v>
      </c>
      <c r="B13" s="2" t="s">
        <v>63</v>
      </c>
      <c r="C13" s="2" t="s">
        <v>86</v>
      </c>
      <c r="D13" s="2" t="s">
        <v>80</v>
      </c>
      <c r="E13" s="8"/>
      <c r="F13" s="2" t="str">
        <f t="shared" si="0"/>
        <v>—</v>
      </c>
    </row>
    <row r="14" spans="1:6" ht="18" customHeight="1" x14ac:dyDescent="0.25">
      <c r="A14" s="4">
        <v>10</v>
      </c>
      <c r="B14" s="4" t="s">
        <v>64</v>
      </c>
      <c r="C14" s="4" t="s">
        <v>87</v>
      </c>
      <c r="D14" s="4" t="s">
        <v>76</v>
      </c>
      <c r="E14" s="9"/>
      <c r="F14" s="4" t="str">
        <f t="shared" si="0"/>
        <v>—</v>
      </c>
    </row>
    <row r="15" spans="1:6" ht="18" customHeight="1" x14ac:dyDescent="0.25">
      <c r="A15" s="2">
        <v>11</v>
      </c>
      <c r="B15" s="2" t="s">
        <v>65</v>
      </c>
      <c r="C15" s="2" t="s">
        <v>88</v>
      </c>
      <c r="D15" s="2" t="s">
        <v>80</v>
      </c>
      <c r="E15" s="8"/>
      <c r="F15" s="2" t="str">
        <f t="shared" si="0"/>
        <v>—</v>
      </c>
    </row>
    <row r="16" spans="1:6" ht="18" customHeight="1" x14ac:dyDescent="0.25">
      <c r="A16" s="4">
        <v>12</v>
      </c>
      <c r="B16" s="4" t="s">
        <v>66</v>
      </c>
      <c r="C16" s="4" t="s">
        <v>89</v>
      </c>
      <c r="D16" s="4" t="s">
        <v>76</v>
      </c>
      <c r="E16" s="9"/>
      <c r="F16" s="4" t="str">
        <f t="shared" si="0"/>
        <v>—</v>
      </c>
    </row>
    <row r="17" spans="1:5" ht="24" customHeight="1" x14ac:dyDescent="0.25">
      <c r="A17" s="56" t="s">
        <v>118</v>
      </c>
      <c r="B17" s="57"/>
      <c r="C17" s="57"/>
      <c r="D17" s="58"/>
      <c r="E17" s="10">
        <f>SUM(E5:E16)</f>
        <v>0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8EDF5"/>
  </sheetPr>
  <dimension ref="A1:F17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3" width="14" customWidth="1"/>
    <col min="4" max="4" width="20" customWidth="1"/>
    <col min="5" max="5" width="12" customWidth="1"/>
    <col min="6" max="6" width="16" customWidth="1"/>
  </cols>
  <sheetData>
    <row r="1" spans="1:6" ht="32.1" customHeight="1" x14ac:dyDescent="0.25">
      <c r="A1" s="60" t="s">
        <v>129</v>
      </c>
      <c r="B1" s="42"/>
      <c r="C1" s="42"/>
      <c r="D1" s="42"/>
      <c r="E1" s="42"/>
      <c r="F1" s="42"/>
    </row>
    <row r="2" spans="1:6" ht="18" customHeight="1" x14ac:dyDescent="0.25">
      <c r="A2" s="59" t="s">
        <v>130</v>
      </c>
      <c r="B2" s="42"/>
      <c r="C2" s="42"/>
      <c r="D2" s="42"/>
      <c r="E2" s="42"/>
      <c r="F2" s="42"/>
    </row>
    <row r="4" spans="1:6" ht="21.95" customHeight="1" x14ac:dyDescent="0.25">
      <c r="A4" s="11" t="s">
        <v>70</v>
      </c>
      <c r="B4" s="11" t="s">
        <v>45</v>
      </c>
      <c r="C4" s="11" t="s">
        <v>46</v>
      </c>
      <c r="D4" s="11" t="s">
        <v>72</v>
      </c>
      <c r="E4" s="11" t="s">
        <v>117</v>
      </c>
      <c r="F4" s="11" t="s">
        <v>53</v>
      </c>
    </row>
    <row r="5" spans="1:6" ht="18" customHeight="1" x14ac:dyDescent="0.25">
      <c r="A5" s="2">
        <v>1</v>
      </c>
      <c r="B5" s="2" t="s">
        <v>54</v>
      </c>
      <c r="C5" s="2" t="s">
        <v>75</v>
      </c>
      <c r="D5" s="2" t="s">
        <v>76</v>
      </c>
      <c r="E5" s="8"/>
      <c r="F5" s="2" t="str">
        <f t="shared" ref="F5:F16" si="0">IF(E5="","—",IF(E5&gt;=160,"🔴 LÍMITE",IF(E5&gt;=138,"🟡 ALERTA",IF(E5&gt;=96,"🟠 PRECAUCIÓN","🟢 OK"))))</f>
        <v>—</v>
      </c>
    </row>
    <row r="6" spans="1:6" ht="18" customHeight="1" x14ac:dyDescent="0.25">
      <c r="A6" s="4">
        <v>2</v>
      </c>
      <c r="B6" s="4" t="s">
        <v>56</v>
      </c>
      <c r="C6" s="4" t="s">
        <v>78</v>
      </c>
      <c r="D6" s="4" t="s">
        <v>76</v>
      </c>
      <c r="E6" s="9"/>
      <c r="F6" s="4" t="str">
        <f t="shared" si="0"/>
        <v>—</v>
      </c>
    </row>
    <row r="7" spans="1:6" ht="18" customHeight="1" x14ac:dyDescent="0.25">
      <c r="A7" s="2">
        <v>3</v>
      </c>
      <c r="B7" s="2" t="s">
        <v>57</v>
      </c>
      <c r="C7" s="2" t="s">
        <v>79</v>
      </c>
      <c r="D7" s="2" t="s">
        <v>80</v>
      </c>
      <c r="E7" s="8"/>
      <c r="F7" s="2" t="str">
        <f t="shared" si="0"/>
        <v>—</v>
      </c>
    </row>
    <row r="8" spans="1:6" ht="18" customHeight="1" x14ac:dyDescent="0.25">
      <c r="A8" s="4">
        <v>4</v>
      </c>
      <c r="B8" s="4" t="s">
        <v>58</v>
      </c>
      <c r="C8" s="4" t="s">
        <v>81</v>
      </c>
      <c r="D8" s="4" t="s">
        <v>76</v>
      </c>
      <c r="E8" s="9"/>
      <c r="F8" s="4" t="str">
        <f t="shared" si="0"/>
        <v>—</v>
      </c>
    </row>
    <row r="9" spans="1:6" ht="18" customHeight="1" x14ac:dyDescent="0.25">
      <c r="A9" s="2">
        <v>5</v>
      </c>
      <c r="B9" s="2" t="s">
        <v>59</v>
      </c>
      <c r="C9" s="2" t="s">
        <v>82</v>
      </c>
      <c r="D9" s="2" t="s">
        <v>80</v>
      </c>
      <c r="E9" s="8"/>
      <c r="F9" s="2" t="str">
        <f t="shared" si="0"/>
        <v>—</v>
      </c>
    </row>
    <row r="10" spans="1:6" ht="18" customHeight="1" x14ac:dyDescent="0.25">
      <c r="A10" s="4">
        <v>6</v>
      </c>
      <c r="B10" s="4" t="s">
        <v>60</v>
      </c>
      <c r="C10" s="4" t="s">
        <v>83</v>
      </c>
      <c r="D10" s="4" t="s">
        <v>76</v>
      </c>
      <c r="E10" s="9"/>
      <c r="F10" s="4" t="str">
        <f t="shared" si="0"/>
        <v>—</v>
      </c>
    </row>
    <row r="11" spans="1:6" ht="18" customHeight="1" x14ac:dyDescent="0.25">
      <c r="A11" s="2">
        <v>7</v>
      </c>
      <c r="B11" s="2" t="s">
        <v>61</v>
      </c>
      <c r="C11" s="2" t="s">
        <v>84</v>
      </c>
      <c r="D11" s="2" t="s">
        <v>80</v>
      </c>
      <c r="E11" s="8"/>
      <c r="F11" s="2" t="str">
        <f t="shared" si="0"/>
        <v>—</v>
      </c>
    </row>
    <row r="12" spans="1:6" ht="18" customHeight="1" x14ac:dyDescent="0.25">
      <c r="A12" s="4">
        <v>8</v>
      </c>
      <c r="B12" s="4" t="s">
        <v>62</v>
      </c>
      <c r="C12" s="4" t="s">
        <v>85</v>
      </c>
      <c r="D12" s="4" t="s">
        <v>76</v>
      </c>
      <c r="E12" s="9"/>
      <c r="F12" s="4" t="str">
        <f t="shared" si="0"/>
        <v>—</v>
      </c>
    </row>
    <row r="13" spans="1:6" ht="18" customHeight="1" x14ac:dyDescent="0.25">
      <c r="A13" s="2">
        <v>9</v>
      </c>
      <c r="B13" s="2" t="s">
        <v>63</v>
      </c>
      <c r="C13" s="2" t="s">
        <v>86</v>
      </c>
      <c r="D13" s="2" t="s">
        <v>80</v>
      </c>
      <c r="E13" s="8"/>
      <c r="F13" s="2" t="str">
        <f t="shared" si="0"/>
        <v>—</v>
      </c>
    </row>
    <row r="14" spans="1:6" ht="18" customHeight="1" x14ac:dyDescent="0.25">
      <c r="A14" s="4">
        <v>10</v>
      </c>
      <c r="B14" s="4" t="s">
        <v>64</v>
      </c>
      <c r="C14" s="4" t="s">
        <v>87</v>
      </c>
      <c r="D14" s="4" t="s">
        <v>76</v>
      </c>
      <c r="E14" s="9"/>
      <c r="F14" s="4" t="str">
        <f t="shared" si="0"/>
        <v>—</v>
      </c>
    </row>
    <row r="15" spans="1:6" ht="18" customHeight="1" x14ac:dyDescent="0.25">
      <c r="A15" s="2">
        <v>11</v>
      </c>
      <c r="B15" s="2" t="s">
        <v>65</v>
      </c>
      <c r="C15" s="2" t="s">
        <v>88</v>
      </c>
      <c r="D15" s="2" t="s">
        <v>80</v>
      </c>
      <c r="E15" s="8"/>
      <c r="F15" s="2" t="str">
        <f t="shared" si="0"/>
        <v>—</v>
      </c>
    </row>
    <row r="16" spans="1:6" ht="18" customHeight="1" x14ac:dyDescent="0.25">
      <c r="A16" s="4">
        <v>12</v>
      </c>
      <c r="B16" s="4" t="s">
        <v>66</v>
      </c>
      <c r="C16" s="4" t="s">
        <v>89</v>
      </c>
      <c r="D16" s="4" t="s">
        <v>76</v>
      </c>
      <c r="E16" s="9"/>
      <c r="F16" s="4" t="str">
        <f t="shared" si="0"/>
        <v>—</v>
      </c>
    </row>
    <row r="17" spans="1:5" ht="24" customHeight="1" x14ac:dyDescent="0.25">
      <c r="A17" s="56" t="s">
        <v>118</v>
      </c>
      <c r="B17" s="57"/>
      <c r="C17" s="57"/>
      <c r="D17" s="58"/>
      <c r="E17" s="10">
        <f>SUM(E5:E16)</f>
        <v>0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8EDF5"/>
  </sheetPr>
  <dimension ref="A1:F17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3" width="14" customWidth="1"/>
    <col min="4" max="4" width="20" customWidth="1"/>
    <col min="5" max="5" width="12" customWidth="1"/>
    <col min="6" max="6" width="16" customWidth="1"/>
  </cols>
  <sheetData>
    <row r="1" spans="1:6" ht="32.1" customHeight="1" x14ac:dyDescent="0.25">
      <c r="A1" s="60" t="s">
        <v>131</v>
      </c>
      <c r="B1" s="42"/>
      <c r="C1" s="42"/>
      <c r="D1" s="42"/>
      <c r="E1" s="42"/>
      <c r="F1" s="42"/>
    </row>
    <row r="2" spans="1:6" ht="18" customHeight="1" x14ac:dyDescent="0.25">
      <c r="A2" s="59" t="s">
        <v>132</v>
      </c>
      <c r="B2" s="42"/>
      <c r="C2" s="42"/>
      <c r="D2" s="42"/>
      <c r="E2" s="42"/>
      <c r="F2" s="42"/>
    </row>
    <row r="4" spans="1:6" ht="21.95" customHeight="1" x14ac:dyDescent="0.25">
      <c r="A4" s="11" t="s">
        <v>70</v>
      </c>
      <c r="B4" s="11" t="s">
        <v>45</v>
      </c>
      <c r="C4" s="11" t="s">
        <v>46</v>
      </c>
      <c r="D4" s="11" t="s">
        <v>72</v>
      </c>
      <c r="E4" s="11" t="s">
        <v>117</v>
      </c>
      <c r="F4" s="11" t="s">
        <v>53</v>
      </c>
    </row>
    <row r="5" spans="1:6" ht="18" customHeight="1" x14ac:dyDescent="0.25">
      <c r="A5" s="2">
        <v>1</v>
      </c>
      <c r="B5" s="2" t="s">
        <v>54</v>
      </c>
      <c r="C5" s="2" t="s">
        <v>75</v>
      </c>
      <c r="D5" s="2" t="s">
        <v>76</v>
      </c>
      <c r="E5" s="8"/>
      <c r="F5" s="2" t="str">
        <f t="shared" ref="F5:F16" si="0">IF(E5="","—",IF(E5&gt;=160,"🔴 LÍMITE",IF(E5&gt;=138,"🟡 ALERTA",IF(E5&gt;=96,"🟠 PRECAUCIÓN","🟢 OK"))))</f>
        <v>—</v>
      </c>
    </row>
    <row r="6" spans="1:6" ht="18" customHeight="1" x14ac:dyDescent="0.25">
      <c r="A6" s="4">
        <v>2</v>
      </c>
      <c r="B6" s="4" t="s">
        <v>56</v>
      </c>
      <c r="C6" s="4" t="s">
        <v>78</v>
      </c>
      <c r="D6" s="4" t="s">
        <v>76</v>
      </c>
      <c r="E6" s="9"/>
      <c r="F6" s="4" t="str">
        <f t="shared" si="0"/>
        <v>—</v>
      </c>
    </row>
    <row r="7" spans="1:6" ht="18" customHeight="1" x14ac:dyDescent="0.25">
      <c r="A7" s="2">
        <v>3</v>
      </c>
      <c r="B7" s="2" t="s">
        <v>57</v>
      </c>
      <c r="C7" s="2" t="s">
        <v>79</v>
      </c>
      <c r="D7" s="2" t="s">
        <v>80</v>
      </c>
      <c r="E7" s="8"/>
      <c r="F7" s="2" t="str">
        <f t="shared" si="0"/>
        <v>—</v>
      </c>
    </row>
    <row r="8" spans="1:6" ht="18" customHeight="1" x14ac:dyDescent="0.25">
      <c r="A8" s="4">
        <v>4</v>
      </c>
      <c r="B8" s="4" t="s">
        <v>58</v>
      </c>
      <c r="C8" s="4" t="s">
        <v>81</v>
      </c>
      <c r="D8" s="4" t="s">
        <v>76</v>
      </c>
      <c r="E8" s="9"/>
      <c r="F8" s="4" t="str">
        <f t="shared" si="0"/>
        <v>—</v>
      </c>
    </row>
    <row r="9" spans="1:6" ht="18" customHeight="1" x14ac:dyDescent="0.25">
      <c r="A9" s="2">
        <v>5</v>
      </c>
      <c r="B9" s="2" t="s">
        <v>59</v>
      </c>
      <c r="C9" s="2" t="s">
        <v>82</v>
      </c>
      <c r="D9" s="2" t="s">
        <v>80</v>
      </c>
      <c r="E9" s="8"/>
      <c r="F9" s="2" t="str">
        <f t="shared" si="0"/>
        <v>—</v>
      </c>
    </row>
    <row r="10" spans="1:6" ht="18" customHeight="1" x14ac:dyDescent="0.25">
      <c r="A10" s="4">
        <v>6</v>
      </c>
      <c r="B10" s="4" t="s">
        <v>60</v>
      </c>
      <c r="C10" s="4" t="s">
        <v>83</v>
      </c>
      <c r="D10" s="4" t="s">
        <v>76</v>
      </c>
      <c r="E10" s="9"/>
      <c r="F10" s="4" t="str">
        <f t="shared" si="0"/>
        <v>—</v>
      </c>
    </row>
    <row r="11" spans="1:6" ht="18" customHeight="1" x14ac:dyDescent="0.25">
      <c r="A11" s="2">
        <v>7</v>
      </c>
      <c r="B11" s="2" t="s">
        <v>61</v>
      </c>
      <c r="C11" s="2" t="s">
        <v>84</v>
      </c>
      <c r="D11" s="2" t="s">
        <v>80</v>
      </c>
      <c r="E11" s="8"/>
      <c r="F11" s="2" t="str">
        <f t="shared" si="0"/>
        <v>—</v>
      </c>
    </row>
    <row r="12" spans="1:6" ht="18" customHeight="1" x14ac:dyDescent="0.25">
      <c r="A12" s="4">
        <v>8</v>
      </c>
      <c r="B12" s="4" t="s">
        <v>62</v>
      </c>
      <c r="C12" s="4" t="s">
        <v>85</v>
      </c>
      <c r="D12" s="4" t="s">
        <v>76</v>
      </c>
      <c r="E12" s="9"/>
      <c r="F12" s="4" t="str">
        <f t="shared" si="0"/>
        <v>—</v>
      </c>
    </row>
    <row r="13" spans="1:6" ht="18" customHeight="1" x14ac:dyDescent="0.25">
      <c r="A13" s="2">
        <v>9</v>
      </c>
      <c r="B13" s="2" t="s">
        <v>63</v>
      </c>
      <c r="C13" s="2" t="s">
        <v>86</v>
      </c>
      <c r="D13" s="2" t="s">
        <v>80</v>
      </c>
      <c r="E13" s="8"/>
      <c r="F13" s="2" t="str">
        <f t="shared" si="0"/>
        <v>—</v>
      </c>
    </row>
    <row r="14" spans="1:6" ht="18" customHeight="1" x14ac:dyDescent="0.25">
      <c r="A14" s="4">
        <v>10</v>
      </c>
      <c r="B14" s="4" t="s">
        <v>64</v>
      </c>
      <c r="C14" s="4" t="s">
        <v>87</v>
      </c>
      <c r="D14" s="4" t="s">
        <v>76</v>
      </c>
      <c r="E14" s="9"/>
      <c r="F14" s="4" t="str">
        <f t="shared" si="0"/>
        <v>—</v>
      </c>
    </row>
    <row r="15" spans="1:6" ht="18" customHeight="1" x14ac:dyDescent="0.25">
      <c r="A15" s="2">
        <v>11</v>
      </c>
      <c r="B15" s="2" t="s">
        <v>65</v>
      </c>
      <c r="C15" s="2" t="s">
        <v>88</v>
      </c>
      <c r="D15" s="2" t="s">
        <v>80</v>
      </c>
      <c r="E15" s="8"/>
      <c r="F15" s="2" t="str">
        <f t="shared" si="0"/>
        <v>—</v>
      </c>
    </row>
    <row r="16" spans="1:6" ht="18" customHeight="1" x14ac:dyDescent="0.25">
      <c r="A16" s="4">
        <v>12</v>
      </c>
      <c r="B16" s="4" t="s">
        <v>66</v>
      </c>
      <c r="C16" s="4" t="s">
        <v>89</v>
      </c>
      <c r="D16" s="4" t="s">
        <v>76</v>
      </c>
      <c r="E16" s="9"/>
      <c r="F16" s="4" t="str">
        <f t="shared" si="0"/>
        <v>—</v>
      </c>
    </row>
    <row r="17" spans="1:5" ht="24" customHeight="1" x14ac:dyDescent="0.25">
      <c r="A17" s="56" t="s">
        <v>118</v>
      </c>
      <c r="B17" s="57"/>
      <c r="C17" s="57"/>
      <c r="D17" s="58"/>
      <c r="E17" s="10">
        <f>SUM(E5:E16)</f>
        <v>0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8EDF5"/>
  </sheetPr>
  <dimension ref="A1:F17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3" width="14" customWidth="1"/>
    <col min="4" max="4" width="20" customWidth="1"/>
    <col min="5" max="5" width="12" customWidth="1"/>
    <col min="6" max="6" width="16" customWidth="1"/>
  </cols>
  <sheetData>
    <row r="1" spans="1:6" ht="32.1" customHeight="1" x14ac:dyDescent="0.25">
      <c r="A1" s="60" t="s">
        <v>133</v>
      </c>
      <c r="B1" s="42"/>
      <c r="C1" s="42"/>
      <c r="D1" s="42"/>
      <c r="E1" s="42"/>
      <c r="F1" s="42"/>
    </row>
    <row r="2" spans="1:6" ht="18" customHeight="1" x14ac:dyDescent="0.25">
      <c r="A2" s="59" t="s">
        <v>134</v>
      </c>
      <c r="B2" s="42"/>
      <c r="C2" s="42"/>
      <c r="D2" s="42"/>
      <c r="E2" s="42"/>
      <c r="F2" s="42"/>
    </row>
    <row r="4" spans="1:6" ht="21.95" customHeight="1" x14ac:dyDescent="0.25">
      <c r="A4" s="11" t="s">
        <v>70</v>
      </c>
      <c r="B4" s="11" t="s">
        <v>45</v>
      </c>
      <c r="C4" s="11" t="s">
        <v>46</v>
      </c>
      <c r="D4" s="11" t="s">
        <v>72</v>
      </c>
      <c r="E4" s="11" t="s">
        <v>117</v>
      </c>
      <c r="F4" s="11" t="s">
        <v>53</v>
      </c>
    </row>
    <row r="5" spans="1:6" ht="18" customHeight="1" x14ac:dyDescent="0.25">
      <c r="A5" s="2">
        <v>1</v>
      </c>
      <c r="B5" s="2" t="s">
        <v>54</v>
      </c>
      <c r="C5" s="2" t="s">
        <v>75</v>
      </c>
      <c r="D5" s="2" t="s">
        <v>76</v>
      </c>
      <c r="E5" s="8"/>
      <c r="F5" s="2" t="str">
        <f t="shared" ref="F5:F16" si="0">IF(E5="","—",IF(E5&gt;=160,"🔴 LÍMITE",IF(E5&gt;=138,"🟡 ALERTA",IF(E5&gt;=96,"🟠 PRECAUCIÓN","🟢 OK"))))</f>
        <v>—</v>
      </c>
    </row>
    <row r="6" spans="1:6" ht="18" customHeight="1" x14ac:dyDescent="0.25">
      <c r="A6" s="4">
        <v>2</v>
      </c>
      <c r="B6" s="4" t="s">
        <v>56</v>
      </c>
      <c r="C6" s="4" t="s">
        <v>78</v>
      </c>
      <c r="D6" s="4" t="s">
        <v>76</v>
      </c>
      <c r="E6" s="9"/>
      <c r="F6" s="4" t="str">
        <f t="shared" si="0"/>
        <v>—</v>
      </c>
    </row>
    <row r="7" spans="1:6" ht="18" customHeight="1" x14ac:dyDescent="0.25">
      <c r="A7" s="2">
        <v>3</v>
      </c>
      <c r="B7" s="2" t="s">
        <v>57</v>
      </c>
      <c r="C7" s="2" t="s">
        <v>79</v>
      </c>
      <c r="D7" s="2" t="s">
        <v>80</v>
      </c>
      <c r="E7" s="8"/>
      <c r="F7" s="2" t="str">
        <f t="shared" si="0"/>
        <v>—</v>
      </c>
    </row>
    <row r="8" spans="1:6" ht="18" customHeight="1" x14ac:dyDescent="0.25">
      <c r="A8" s="4">
        <v>4</v>
      </c>
      <c r="B8" s="4" t="s">
        <v>58</v>
      </c>
      <c r="C8" s="4" t="s">
        <v>81</v>
      </c>
      <c r="D8" s="4" t="s">
        <v>76</v>
      </c>
      <c r="E8" s="9"/>
      <c r="F8" s="4" t="str">
        <f t="shared" si="0"/>
        <v>—</v>
      </c>
    </row>
    <row r="9" spans="1:6" ht="18" customHeight="1" x14ac:dyDescent="0.25">
      <c r="A9" s="2">
        <v>5</v>
      </c>
      <c r="B9" s="2" t="s">
        <v>59</v>
      </c>
      <c r="C9" s="2" t="s">
        <v>82</v>
      </c>
      <c r="D9" s="2" t="s">
        <v>80</v>
      </c>
      <c r="E9" s="8"/>
      <c r="F9" s="2" t="str">
        <f t="shared" si="0"/>
        <v>—</v>
      </c>
    </row>
    <row r="10" spans="1:6" ht="18" customHeight="1" x14ac:dyDescent="0.25">
      <c r="A10" s="4">
        <v>6</v>
      </c>
      <c r="B10" s="4" t="s">
        <v>60</v>
      </c>
      <c r="C10" s="4" t="s">
        <v>83</v>
      </c>
      <c r="D10" s="4" t="s">
        <v>76</v>
      </c>
      <c r="E10" s="9"/>
      <c r="F10" s="4" t="str">
        <f t="shared" si="0"/>
        <v>—</v>
      </c>
    </row>
    <row r="11" spans="1:6" ht="18" customHeight="1" x14ac:dyDescent="0.25">
      <c r="A11" s="2">
        <v>7</v>
      </c>
      <c r="B11" s="2" t="s">
        <v>61</v>
      </c>
      <c r="C11" s="2" t="s">
        <v>84</v>
      </c>
      <c r="D11" s="2" t="s">
        <v>80</v>
      </c>
      <c r="E11" s="8"/>
      <c r="F11" s="2" t="str">
        <f t="shared" si="0"/>
        <v>—</v>
      </c>
    </row>
    <row r="12" spans="1:6" ht="18" customHeight="1" x14ac:dyDescent="0.25">
      <c r="A12" s="4">
        <v>8</v>
      </c>
      <c r="B12" s="4" t="s">
        <v>62</v>
      </c>
      <c r="C12" s="4" t="s">
        <v>85</v>
      </c>
      <c r="D12" s="4" t="s">
        <v>76</v>
      </c>
      <c r="E12" s="9"/>
      <c r="F12" s="4" t="str">
        <f t="shared" si="0"/>
        <v>—</v>
      </c>
    </row>
    <row r="13" spans="1:6" ht="18" customHeight="1" x14ac:dyDescent="0.25">
      <c r="A13" s="2">
        <v>9</v>
      </c>
      <c r="B13" s="2" t="s">
        <v>63</v>
      </c>
      <c r="C13" s="2" t="s">
        <v>86</v>
      </c>
      <c r="D13" s="2" t="s">
        <v>80</v>
      </c>
      <c r="E13" s="8"/>
      <c r="F13" s="2" t="str">
        <f t="shared" si="0"/>
        <v>—</v>
      </c>
    </row>
    <row r="14" spans="1:6" ht="18" customHeight="1" x14ac:dyDescent="0.25">
      <c r="A14" s="4">
        <v>10</v>
      </c>
      <c r="B14" s="4" t="s">
        <v>64</v>
      </c>
      <c r="C14" s="4" t="s">
        <v>87</v>
      </c>
      <c r="D14" s="4" t="s">
        <v>76</v>
      </c>
      <c r="E14" s="9"/>
      <c r="F14" s="4" t="str">
        <f t="shared" si="0"/>
        <v>—</v>
      </c>
    </row>
    <row r="15" spans="1:6" ht="18" customHeight="1" x14ac:dyDescent="0.25">
      <c r="A15" s="2">
        <v>11</v>
      </c>
      <c r="B15" s="2" t="s">
        <v>65</v>
      </c>
      <c r="C15" s="2" t="s">
        <v>88</v>
      </c>
      <c r="D15" s="2" t="s">
        <v>80</v>
      </c>
      <c r="E15" s="8"/>
      <c r="F15" s="2" t="str">
        <f t="shared" si="0"/>
        <v>—</v>
      </c>
    </row>
    <row r="16" spans="1:6" ht="18" customHeight="1" x14ac:dyDescent="0.25">
      <c r="A16" s="4">
        <v>12</v>
      </c>
      <c r="B16" s="4" t="s">
        <v>66</v>
      </c>
      <c r="C16" s="4" t="s">
        <v>89</v>
      </c>
      <c r="D16" s="4" t="s">
        <v>76</v>
      </c>
      <c r="E16" s="9"/>
      <c r="F16" s="4" t="str">
        <f t="shared" si="0"/>
        <v>—</v>
      </c>
    </row>
    <row r="17" spans="1:5" ht="24" customHeight="1" x14ac:dyDescent="0.25">
      <c r="A17" s="56" t="s">
        <v>118</v>
      </c>
      <c r="B17" s="57"/>
      <c r="C17" s="57"/>
      <c r="D17" s="58"/>
      <c r="E17" s="10">
        <f>SUM(E5:E16)</f>
        <v>0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EDF5"/>
  </sheetPr>
  <dimension ref="A1:F17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3" width="14" customWidth="1"/>
    <col min="4" max="4" width="20" customWidth="1"/>
    <col min="5" max="5" width="12" customWidth="1"/>
    <col min="6" max="6" width="16" customWidth="1"/>
  </cols>
  <sheetData>
    <row r="1" spans="1:6" ht="32.1" customHeight="1" x14ac:dyDescent="0.25">
      <c r="A1" s="60" t="s">
        <v>135</v>
      </c>
      <c r="B1" s="42"/>
      <c r="C1" s="42"/>
      <c r="D1" s="42"/>
      <c r="E1" s="42"/>
      <c r="F1" s="42"/>
    </row>
    <row r="2" spans="1:6" ht="18" customHeight="1" x14ac:dyDescent="0.25">
      <c r="A2" s="59" t="s">
        <v>136</v>
      </c>
      <c r="B2" s="42"/>
      <c r="C2" s="42"/>
      <c r="D2" s="42"/>
      <c r="E2" s="42"/>
      <c r="F2" s="42"/>
    </row>
    <row r="4" spans="1:6" ht="21.95" customHeight="1" x14ac:dyDescent="0.25">
      <c r="A4" s="11" t="s">
        <v>70</v>
      </c>
      <c r="B4" s="11" t="s">
        <v>45</v>
      </c>
      <c r="C4" s="11" t="s">
        <v>46</v>
      </c>
      <c r="D4" s="11" t="s">
        <v>72</v>
      </c>
      <c r="E4" s="11" t="s">
        <v>117</v>
      </c>
      <c r="F4" s="11" t="s">
        <v>53</v>
      </c>
    </row>
    <row r="5" spans="1:6" ht="18" customHeight="1" x14ac:dyDescent="0.25">
      <c r="A5" s="2">
        <v>1</v>
      </c>
      <c r="B5" s="2" t="s">
        <v>54</v>
      </c>
      <c r="C5" s="2" t="s">
        <v>75</v>
      </c>
      <c r="D5" s="2" t="s">
        <v>76</v>
      </c>
      <c r="E5" s="8"/>
      <c r="F5" s="2" t="str">
        <f t="shared" ref="F5:F16" si="0">IF(E5="","—",IF(E5&gt;=160,"🔴 LÍMITE",IF(E5&gt;=138,"🟡 ALERTA",IF(E5&gt;=96,"🟠 PRECAUCIÓN","🟢 OK"))))</f>
        <v>—</v>
      </c>
    </row>
    <row r="6" spans="1:6" ht="18" customHeight="1" x14ac:dyDescent="0.25">
      <c r="A6" s="4">
        <v>2</v>
      </c>
      <c r="B6" s="4" t="s">
        <v>56</v>
      </c>
      <c r="C6" s="4" t="s">
        <v>78</v>
      </c>
      <c r="D6" s="4" t="s">
        <v>76</v>
      </c>
      <c r="E6" s="9"/>
      <c r="F6" s="4" t="str">
        <f t="shared" si="0"/>
        <v>—</v>
      </c>
    </row>
    <row r="7" spans="1:6" ht="18" customHeight="1" x14ac:dyDescent="0.25">
      <c r="A7" s="2">
        <v>3</v>
      </c>
      <c r="B7" s="2" t="s">
        <v>57</v>
      </c>
      <c r="C7" s="2" t="s">
        <v>79</v>
      </c>
      <c r="D7" s="2" t="s">
        <v>80</v>
      </c>
      <c r="E7" s="8"/>
      <c r="F7" s="2" t="str">
        <f t="shared" si="0"/>
        <v>—</v>
      </c>
    </row>
    <row r="8" spans="1:6" ht="18" customHeight="1" x14ac:dyDescent="0.25">
      <c r="A8" s="4">
        <v>4</v>
      </c>
      <c r="B8" s="4" t="s">
        <v>58</v>
      </c>
      <c r="C8" s="4" t="s">
        <v>81</v>
      </c>
      <c r="D8" s="4" t="s">
        <v>76</v>
      </c>
      <c r="E8" s="9"/>
      <c r="F8" s="4" t="str">
        <f t="shared" si="0"/>
        <v>—</v>
      </c>
    </row>
    <row r="9" spans="1:6" ht="18" customHeight="1" x14ac:dyDescent="0.25">
      <c r="A9" s="2">
        <v>5</v>
      </c>
      <c r="B9" s="2" t="s">
        <v>59</v>
      </c>
      <c r="C9" s="2" t="s">
        <v>82</v>
      </c>
      <c r="D9" s="2" t="s">
        <v>80</v>
      </c>
      <c r="E9" s="8"/>
      <c r="F9" s="2" t="str">
        <f t="shared" si="0"/>
        <v>—</v>
      </c>
    </row>
    <row r="10" spans="1:6" ht="18" customHeight="1" x14ac:dyDescent="0.25">
      <c r="A10" s="4">
        <v>6</v>
      </c>
      <c r="B10" s="4" t="s">
        <v>60</v>
      </c>
      <c r="C10" s="4" t="s">
        <v>83</v>
      </c>
      <c r="D10" s="4" t="s">
        <v>76</v>
      </c>
      <c r="E10" s="9"/>
      <c r="F10" s="4" t="str">
        <f t="shared" si="0"/>
        <v>—</v>
      </c>
    </row>
    <row r="11" spans="1:6" ht="18" customHeight="1" x14ac:dyDescent="0.25">
      <c r="A11" s="2">
        <v>7</v>
      </c>
      <c r="B11" s="2" t="s">
        <v>61</v>
      </c>
      <c r="C11" s="2" t="s">
        <v>84</v>
      </c>
      <c r="D11" s="2" t="s">
        <v>80</v>
      </c>
      <c r="E11" s="8"/>
      <c r="F11" s="2" t="str">
        <f t="shared" si="0"/>
        <v>—</v>
      </c>
    </row>
    <row r="12" spans="1:6" ht="18" customHeight="1" x14ac:dyDescent="0.25">
      <c r="A12" s="4">
        <v>8</v>
      </c>
      <c r="B12" s="4" t="s">
        <v>62</v>
      </c>
      <c r="C12" s="4" t="s">
        <v>85</v>
      </c>
      <c r="D12" s="4" t="s">
        <v>76</v>
      </c>
      <c r="E12" s="9"/>
      <c r="F12" s="4" t="str">
        <f t="shared" si="0"/>
        <v>—</v>
      </c>
    </row>
    <row r="13" spans="1:6" ht="18" customHeight="1" x14ac:dyDescent="0.25">
      <c r="A13" s="2">
        <v>9</v>
      </c>
      <c r="B13" s="2" t="s">
        <v>63</v>
      </c>
      <c r="C13" s="2" t="s">
        <v>86</v>
      </c>
      <c r="D13" s="2" t="s">
        <v>80</v>
      </c>
      <c r="E13" s="8"/>
      <c r="F13" s="2" t="str">
        <f t="shared" si="0"/>
        <v>—</v>
      </c>
    </row>
    <row r="14" spans="1:6" ht="18" customHeight="1" x14ac:dyDescent="0.25">
      <c r="A14" s="4">
        <v>10</v>
      </c>
      <c r="B14" s="4" t="s">
        <v>64</v>
      </c>
      <c r="C14" s="4" t="s">
        <v>87</v>
      </c>
      <c r="D14" s="4" t="s">
        <v>76</v>
      </c>
      <c r="E14" s="9"/>
      <c r="F14" s="4" t="str">
        <f t="shared" si="0"/>
        <v>—</v>
      </c>
    </row>
    <row r="15" spans="1:6" ht="18" customHeight="1" x14ac:dyDescent="0.25">
      <c r="A15" s="2">
        <v>11</v>
      </c>
      <c r="B15" s="2" t="s">
        <v>65</v>
      </c>
      <c r="C15" s="2" t="s">
        <v>88</v>
      </c>
      <c r="D15" s="2" t="s">
        <v>80</v>
      </c>
      <c r="E15" s="8"/>
      <c r="F15" s="2" t="str">
        <f t="shared" si="0"/>
        <v>—</v>
      </c>
    </row>
    <row r="16" spans="1:6" ht="18" customHeight="1" x14ac:dyDescent="0.25">
      <c r="A16" s="4">
        <v>12</v>
      </c>
      <c r="B16" s="4" t="s">
        <v>66</v>
      </c>
      <c r="C16" s="4" t="s">
        <v>89</v>
      </c>
      <c r="D16" s="4" t="s">
        <v>76</v>
      </c>
      <c r="E16" s="9"/>
      <c r="F16" s="4" t="str">
        <f t="shared" si="0"/>
        <v>—</v>
      </c>
    </row>
    <row r="17" spans="1:5" ht="24" customHeight="1" x14ac:dyDescent="0.25">
      <c r="A17" s="56" t="s">
        <v>118</v>
      </c>
      <c r="B17" s="57"/>
      <c r="C17" s="57"/>
      <c r="D17" s="58"/>
      <c r="E17" s="10">
        <f>SUM(E5:E16)</f>
        <v>0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8EDF5"/>
  </sheetPr>
  <dimension ref="A1:F17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3" width="14" customWidth="1"/>
    <col min="4" max="4" width="20" customWidth="1"/>
    <col min="5" max="5" width="12" customWidth="1"/>
    <col min="6" max="6" width="16" customWidth="1"/>
  </cols>
  <sheetData>
    <row r="1" spans="1:6" ht="32.1" customHeight="1" x14ac:dyDescent="0.25">
      <c r="A1" s="60" t="s">
        <v>137</v>
      </c>
      <c r="B1" s="42"/>
      <c r="C1" s="42"/>
      <c r="D1" s="42"/>
      <c r="E1" s="42"/>
      <c r="F1" s="42"/>
    </row>
    <row r="2" spans="1:6" ht="18" customHeight="1" x14ac:dyDescent="0.25">
      <c r="A2" s="59" t="s">
        <v>138</v>
      </c>
      <c r="B2" s="42"/>
      <c r="C2" s="42"/>
      <c r="D2" s="42"/>
      <c r="E2" s="42"/>
      <c r="F2" s="42"/>
    </row>
    <row r="4" spans="1:6" ht="21.95" customHeight="1" x14ac:dyDescent="0.25">
      <c r="A4" s="11" t="s">
        <v>70</v>
      </c>
      <c r="B4" s="11" t="s">
        <v>45</v>
      </c>
      <c r="C4" s="11" t="s">
        <v>46</v>
      </c>
      <c r="D4" s="11" t="s">
        <v>72</v>
      </c>
      <c r="E4" s="11" t="s">
        <v>117</v>
      </c>
      <c r="F4" s="11" t="s">
        <v>53</v>
      </c>
    </row>
    <row r="5" spans="1:6" ht="18" customHeight="1" x14ac:dyDescent="0.25">
      <c r="A5" s="2">
        <v>1</v>
      </c>
      <c r="B5" s="2" t="s">
        <v>54</v>
      </c>
      <c r="C5" s="2" t="s">
        <v>75</v>
      </c>
      <c r="D5" s="2" t="s">
        <v>76</v>
      </c>
      <c r="E5" s="8"/>
      <c r="F5" s="2" t="str">
        <f t="shared" ref="F5:F16" si="0">IF(E5="","—",IF(E5&gt;=160,"🔴 LÍMITE",IF(E5&gt;=138,"🟡 ALERTA",IF(E5&gt;=96,"🟠 PRECAUCIÓN","🟢 OK"))))</f>
        <v>—</v>
      </c>
    </row>
    <row r="6" spans="1:6" ht="18" customHeight="1" x14ac:dyDescent="0.25">
      <c r="A6" s="4">
        <v>2</v>
      </c>
      <c r="B6" s="4" t="s">
        <v>56</v>
      </c>
      <c r="C6" s="4" t="s">
        <v>78</v>
      </c>
      <c r="D6" s="4" t="s">
        <v>76</v>
      </c>
      <c r="E6" s="9"/>
      <c r="F6" s="4" t="str">
        <f t="shared" si="0"/>
        <v>—</v>
      </c>
    </row>
    <row r="7" spans="1:6" ht="18" customHeight="1" x14ac:dyDescent="0.25">
      <c r="A7" s="2">
        <v>3</v>
      </c>
      <c r="B7" s="2" t="s">
        <v>57</v>
      </c>
      <c r="C7" s="2" t="s">
        <v>79</v>
      </c>
      <c r="D7" s="2" t="s">
        <v>80</v>
      </c>
      <c r="E7" s="8"/>
      <c r="F7" s="2" t="str">
        <f t="shared" si="0"/>
        <v>—</v>
      </c>
    </row>
    <row r="8" spans="1:6" ht="18" customHeight="1" x14ac:dyDescent="0.25">
      <c r="A8" s="4">
        <v>4</v>
      </c>
      <c r="B8" s="4" t="s">
        <v>58</v>
      </c>
      <c r="C8" s="4" t="s">
        <v>81</v>
      </c>
      <c r="D8" s="4" t="s">
        <v>76</v>
      </c>
      <c r="E8" s="9"/>
      <c r="F8" s="4" t="str">
        <f t="shared" si="0"/>
        <v>—</v>
      </c>
    </row>
    <row r="9" spans="1:6" ht="18" customHeight="1" x14ac:dyDescent="0.25">
      <c r="A9" s="2">
        <v>5</v>
      </c>
      <c r="B9" s="2" t="s">
        <v>59</v>
      </c>
      <c r="C9" s="2" t="s">
        <v>82</v>
      </c>
      <c r="D9" s="2" t="s">
        <v>80</v>
      </c>
      <c r="E9" s="8"/>
      <c r="F9" s="2" t="str">
        <f t="shared" si="0"/>
        <v>—</v>
      </c>
    </row>
    <row r="10" spans="1:6" ht="18" customHeight="1" x14ac:dyDescent="0.25">
      <c r="A10" s="4">
        <v>6</v>
      </c>
      <c r="B10" s="4" t="s">
        <v>60</v>
      </c>
      <c r="C10" s="4" t="s">
        <v>83</v>
      </c>
      <c r="D10" s="4" t="s">
        <v>76</v>
      </c>
      <c r="E10" s="9"/>
      <c r="F10" s="4" t="str">
        <f t="shared" si="0"/>
        <v>—</v>
      </c>
    </row>
    <row r="11" spans="1:6" ht="18" customHeight="1" x14ac:dyDescent="0.25">
      <c r="A11" s="2">
        <v>7</v>
      </c>
      <c r="B11" s="2" t="s">
        <v>61</v>
      </c>
      <c r="C11" s="2" t="s">
        <v>84</v>
      </c>
      <c r="D11" s="2" t="s">
        <v>80</v>
      </c>
      <c r="E11" s="8"/>
      <c r="F11" s="2" t="str">
        <f t="shared" si="0"/>
        <v>—</v>
      </c>
    </row>
    <row r="12" spans="1:6" ht="18" customHeight="1" x14ac:dyDescent="0.25">
      <c r="A12" s="4">
        <v>8</v>
      </c>
      <c r="B12" s="4" t="s">
        <v>62</v>
      </c>
      <c r="C12" s="4" t="s">
        <v>85</v>
      </c>
      <c r="D12" s="4" t="s">
        <v>76</v>
      </c>
      <c r="E12" s="9"/>
      <c r="F12" s="4" t="str">
        <f t="shared" si="0"/>
        <v>—</v>
      </c>
    </row>
    <row r="13" spans="1:6" ht="18" customHeight="1" x14ac:dyDescent="0.25">
      <c r="A13" s="2">
        <v>9</v>
      </c>
      <c r="B13" s="2" t="s">
        <v>63</v>
      </c>
      <c r="C13" s="2" t="s">
        <v>86</v>
      </c>
      <c r="D13" s="2" t="s">
        <v>80</v>
      </c>
      <c r="E13" s="8"/>
      <c r="F13" s="2" t="str">
        <f t="shared" si="0"/>
        <v>—</v>
      </c>
    </row>
    <row r="14" spans="1:6" ht="18" customHeight="1" x14ac:dyDescent="0.25">
      <c r="A14" s="4">
        <v>10</v>
      </c>
      <c r="B14" s="4" t="s">
        <v>64</v>
      </c>
      <c r="C14" s="4" t="s">
        <v>87</v>
      </c>
      <c r="D14" s="4" t="s">
        <v>76</v>
      </c>
      <c r="E14" s="9"/>
      <c r="F14" s="4" t="str">
        <f t="shared" si="0"/>
        <v>—</v>
      </c>
    </row>
    <row r="15" spans="1:6" ht="18" customHeight="1" x14ac:dyDescent="0.25">
      <c r="A15" s="2">
        <v>11</v>
      </c>
      <c r="B15" s="2" t="s">
        <v>65</v>
      </c>
      <c r="C15" s="2" t="s">
        <v>88</v>
      </c>
      <c r="D15" s="2" t="s">
        <v>80</v>
      </c>
      <c r="E15" s="8"/>
      <c r="F15" s="2" t="str">
        <f t="shared" si="0"/>
        <v>—</v>
      </c>
    </row>
    <row r="16" spans="1:6" ht="18" customHeight="1" x14ac:dyDescent="0.25">
      <c r="A16" s="4">
        <v>12</v>
      </c>
      <c r="B16" s="4" t="s">
        <v>66</v>
      </c>
      <c r="C16" s="4" t="s">
        <v>89</v>
      </c>
      <c r="D16" s="4" t="s">
        <v>76</v>
      </c>
      <c r="E16" s="9"/>
      <c r="F16" s="4" t="str">
        <f t="shared" si="0"/>
        <v>—</v>
      </c>
    </row>
    <row r="17" spans="1:5" ht="24" customHeight="1" x14ac:dyDescent="0.25">
      <c r="A17" s="56" t="s">
        <v>118</v>
      </c>
      <c r="B17" s="57"/>
      <c r="C17" s="57"/>
      <c r="D17" s="58"/>
      <c r="E17" s="10">
        <f>SUM(E5:E16)</f>
        <v>0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8EDF5"/>
  </sheetPr>
  <dimension ref="A1:F17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3" width="14" customWidth="1"/>
    <col min="4" max="4" width="20" customWidth="1"/>
    <col min="5" max="5" width="12" customWidth="1"/>
    <col min="6" max="6" width="16" customWidth="1"/>
  </cols>
  <sheetData>
    <row r="1" spans="1:6" ht="32.1" customHeight="1" x14ac:dyDescent="0.25">
      <c r="A1" s="60" t="s">
        <v>139</v>
      </c>
      <c r="B1" s="42"/>
      <c r="C1" s="42"/>
      <c r="D1" s="42"/>
      <c r="E1" s="42"/>
      <c r="F1" s="42"/>
    </row>
    <row r="2" spans="1:6" ht="18" customHeight="1" x14ac:dyDescent="0.25">
      <c r="A2" s="59" t="s">
        <v>140</v>
      </c>
      <c r="B2" s="42"/>
      <c r="C2" s="42"/>
      <c r="D2" s="42"/>
      <c r="E2" s="42"/>
      <c r="F2" s="42"/>
    </row>
    <row r="4" spans="1:6" ht="21.95" customHeight="1" x14ac:dyDescent="0.25">
      <c r="A4" s="11" t="s">
        <v>70</v>
      </c>
      <c r="B4" s="11" t="s">
        <v>45</v>
      </c>
      <c r="C4" s="11" t="s">
        <v>46</v>
      </c>
      <c r="D4" s="11" t="s">
        <v>72</v>
      </c>
      <c r="E4" s="11" t="s">
        <v>117</v>
      </c>
      <c r="F4" s="11" t="s">
        <v>53</v>
      </c>
    </row>
    <row r="5" spans="1:6" ht="18" customHeight="1" x14ac:dyDescent="0.25">
      <c r="A5" s="2">
        <v>1</v>
      </c>
      <c r="B5" s="2" t="s">
        <v>54</v>
      </c>
      <c r="C5" s="2" t="s">
        <v>75</v>
      </c>
      <c r="D5" s="2" t="s">
        <v>76</v>
      </c>
      <c r="E5" s="8"/>
      <c r="F5" s="2" t="str">
        <f t="shared" ref="F5:F16" si="0">IF(E5="","—",IF(E5&gt;=160,"🔴 LÍMITE",IF(E5&gt;=138,"🟡 ALERTA",IF(E5&gt;=96,"🟠 PRECAUCIÓN","🟢 OK"))))</f>
        <v>—</v>
      </c>
    </row>
    <row r="6" spans="1:6" ht="18" customHeight="1" x14ac:dyDescent="0.25">
      <c r="A6" s="4">
        <v>2</v>
      </c>
      <c r="B6" s="4" t="s">
        <v>56</v>
      </c>
      <c r="C6" s="4" t="s">
        <v>78</v>
      </c>
      <c r="D6" s="4" t="s">
        <v>76</v>
      </c>
      <c r="E6" s="9"/>
      <c r="F6" s="4" t="str">
        <f t="shared" si="0"/>
        <v>—</v>
      </c>
    </row>
    <row r="7" spans="1:6" ht="18" customHeight="1" x14ac:dyDescent="0.25">
      <c r="A7" s="2">
        <v>3</v>
      </c>
      <c r="B7" s="2" t="s">
        <v>57</v>
      </c>
      <c r="C7" s="2" t="s">
        <v>79</v>
      </c>
      <c r="D7" s="2" t="s">
        <v>80</v>
      </c>
      <c r="E7" s="8"/>
      <c r="F7" s="2" t="str">
        <f t="shared" si="0"/>
        <v>—</v>
      </c>
    </row>
    <row r="8" spans="1:6" ht="18" customHeight="1" x14ac:dyDescent="0.25">
      <c r="A8" s="4">
        <v>4</v>
      </c>
      <c r="B8" s="4" t="s">
        <v>58</v>
      </c>
      <c r="C8" s="4" t="s">
        <v>81</v>
      </c>
      <c r="D8" s="4" t="s">
        <v>76</v>
      </c>
      <c r="E8" s="9"/>
      <c r="F8" s="4" t="str">
        <f t="shared" si="0"/>
        <v>—</v>
      </c>
    </row>
    <row r="9" spans="1:6" ht="18" customHeight="1" x14ac:dyDescent="0.25">
      <c r="A9" s="2">
        <v>5</v>
      </c>
      <c r="B9" s="2" t="s">
        <v>59</v>
      </c>
      <c r="C9" s="2" t="s">
        <v>82</v>
      </c>
      <c r="D9" s="2" t="s">
        <v>80</v>
      </c>
      <c r="E9" s="8"/>
      <c r="F9" s="2" t="str">
        <f t="shared" si="0"/>
        <v>—</v>
      </c>
    </row>
    <row r="10" spans="1:6" ht="18" customHeight="1" x14ac:dyDescent="0.25">
      <c r="A10" s="4">
        <v>6</v>
      </c>
      <c r="B10" s="4" t="s">
        <v>60</v>
      </c>
      <c r="C10" s="4" t="s">
        <v>83</v>
      </c>
      <c r="D10" s="4" t="s">
        <v>76</v>
      </c>
      <c r="E10" s="9"/>
      <c r="F10" s="4" t="str">
        <f t="shared" si="0"/>
        <v>—</v>
      </c>
    </row>
    <row r="11" spans="1:6" ht="18" customHeight="1" x14ac:dyDescent="0.25">
      <c r="A11" s="2">
        <v>7</v>
      </c>
      <c r="B11" s="2" t="s">
        <v>61</v>
      </c>
      <c r="C11" s="2" t="s">
        <v>84</v>
      </c>
      <c r="D11" s="2" t="s">
        <v>80</v>
      </c>
      <c r="E11" s="8"/>
      <c r="F11" s="2" t="str">
        <f t="shared" si="0"/>
        <v>—</v>
      </c>
    </row>
    <row r="12" spans="1:6" ht="18" customHeight="1" x14ac:dyDescent="0.25">
      <c r="A12" s="4">
        <v>8</v>
      </c>
      <c r="B12" s="4" t="s">
        <v>62</v>
      </c>
      <c r="C12" s="4" t="s">
        <v>85</v>
      </c>
      <c r="D12" s="4" t="s">
        <v>76</v>
      </c>
      <c r="E12" s="9"/>
      <c r="F12" s="4" t="str">
        <f t="shared" si="0"/>
        <v>—</v>
      </c>
    </row>
    <row r="13" spans="1:6" ht="18" customHeight="1" x14ac:dyDescent="0.25">
      <c r="A13" s="2">
        <v>9</v>
      </c>
      <c r="B13" s="2" t="s">
        <v>63</v>
      </c>
      <c r="C13" s="2" t="s">
        <v>86</v>
      </c>
      <c r="D13" s="2" t="s">
        <v>80</v>
      </c>
      <c r="E13" s="8"/>
      <c r="F13" s="2" t="str">
        <f t="shared" si="0"/>
        <v>—</v>
      </c>
    </row>
    <row r="14" spans="1:6" ht="18" customHeight="1" x14ac:dyDescent="0.25">
      <c r="A14" s="4">
        <v>10</v>
      </c>
      <c r="B14" s="4" t="s">
        <v>64</v>
      </c>
      <c r="C14" s="4" t="s">
        <v>87</v>
      </c>
      <c r="D14" s="4" t="s">
        <v>76</v>
      </c>
      <c r="E14" s="9"/>
      <c r="F14" s="4" t="str">
        <f t="shared" si="0"/>
        <v>—</v>
      </c>
    </row>
    <row r="15" spans="1:6" ht="18" customHeight="1" x14ac:dyDescent="0.25">
      <c r="A15" s="2">
        <v>11</v>
      </c>
      <c r="B15" s="2" t="s">
        <v>65</v>
      </c>
      <c r="C15" s="2" t="s">
        <v>88</v>
      </c>
      <c r="D15" s="2" t="s">
        <v>80</v>
      </c>
      <c r="E15" s="8"/>
      <c r="F15" s="2" t="str">
        <f t="shared" si="0"/>
        <v>—</v>
      </c>
    </row>
    <row r="16" spans="1:6" ht="18" customHeight="1" x14ac:dyDescent="0.25">
      <c r="A16" s="4">
        <v>12</v>
      </c>
      <c r="B16" s="4" t="s">
        <v>66</v>
      </c>
      <c r="C16" s="4" t="s">
        <v>89</v>
      </c>
      <c r="D16" s="4" t="s">
        <v>76</v>
      </c>
      <c r="E16" s="9"/>
      <c r="F16" s="4" t="str">
        <f t="shared" si="0"/>
        <v>—</v>
      </c>
    </row>
    <row r="17" spans="1:5" ht="24" customHeight="1" x14ac:dyDescent="0.25">
      <c r="A17" s="56" t="s">
        <v>118</v>
      </c>
      <c r="B17" s="57"/>
      <c r="C17" s="57"/>
      <c r="D17" s="58"/>
      <c r="E17" s="10">
        <f>SUM(E5:E16)</f>
        <v>0</v>
      </c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DE3EC"/>
  </sheetPr>
  <dimension ref="A1:H27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2" t="s">
        <v>141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48" t="s">
        <v>116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5000</v>
      </c>
      <c r="D4" s="61" t="s">
        <v>107</v>
      </c>
      <c r="E4" s="42"/>
      <c r="F4" s="13">
        <v>500</v>
      </c>
    </row>
    <row r="6" spans="1:8" ht="24" customHeight="1" x14ac:dyDescent="0.25">
      <c r="A6" s="14" t="s">
        <v>27</v>
      </c>
      <c r="B6" s="14" t="s">
        <v>142</v>
      </c>
      <c r="C6" s="14" t="s">
        <v>46</v>
      </c>
      <c r="D6" s="14" t="s">
        <v>110</v>
      </c>
      <c r="E6" s="14" t="s">
        <v>112</v>
      </c>
      <c r="F6" s="14" t="s">
        <v>143</v>
      </c>
      <c r="G6" s="14" t="s">
        <v>144</v>
      </c>
      <c r="H6" s="14" t="s">
        <v>40</v>
      </c>
    </row>
    <row r="7" spans="1:8" ht="18" customHeight="1" x14ac:dyDescent="0.25">
      <c r="A7" s="2" t="s">
        <v>145</v>
      </c>
      <c r="B7" s="2" t="s">
        <v>95</v>
      </c>
      <c r="C7" s="2" t="s">
        <v>75</v>
      </c>
      <c r="D7" s="2" t="s">
        <v>146</v>
      </c>
      <c r="E7" s="15">
        <v>920</v>
      </c>
      <c r="F7" s="16">
        <f>C4-E7</f>
        <v>4080</v>
      </c>
      <c r="G7" s="2" t="s">
        <v>97</v>
      </c>
      <c r="H7" s="2" t="s">
        <v>147</v>
      </c>
    </row>
    <row r="8" spans="1:8" ht="18" customHeight="1" x14ac:dyDescent="0.25">
      <c r="A8" s="7" t="s">
        <v>148</v>
      </c>
      <c r="B8" s="7" t="s">
        <v>98</v>
      </c>
      <c r="C8" s="7" t="s">
        <v>78</v>
      </c>
      <c r="D8" s="7" t="s">
        <v>149</v>
      </c>
      <c r="E8" s="15">
        <v>840</v>
      </c>
      <c r="F8" s="16">
        <f>F7-E8</f>
        <v>3240</v>
      </c>
      <c r="G8" s="7" t="s">
        <v>97</v>
      </c>
      <c r="H8" s="7" t="s">
        <v>147</v>
      </c>
    </row>
    <row r="9" spans="1:8" ht="18" customHeight="1" x14ac:dyDescent="0.25">
      <c r="A9" s="2" t="s">
        <v>150</v>
      </c>
      <c r="B9" s="2" t="s">
        <v>99</v>
      </c>
      <c r="C9" s="2" t="s">
        <v>79</v>
      </c>
      <c r="D9" s="2" t="s">
        <v>151</v>
      </c>
      <c r="E9" s="15">
        <v>720</v>
      </c>
      <c r="F9" s="16">
        <f>F8-E9</f>
        <v>2520</v>
      </c>
      <c r="G9" s="2" t="s">
        <v>97</v>
      </c>
      <c r="H9" s="2" t="s">
        <v>147</v>
      </c>
    </row>
    <row r="10" spans="1:8" ht="18" customHeight="1" x14ac:dyDescent="0.25">
      <c r="A10" s="7" t="s">
        <v>152</v>
      </c>
      <c r="B10" s="7" t="s">
        <v>100</v>
      </c>
      <c r="C10" s="7" t="s">
        <v>81</v>
      </c>
      <c r="D10" s="7" t="s">
        <v>153</v>
      </c>
      <c r="E10" s="15">
        <v>610</v>
      </c>
      <c r="F10" s="16">
        <f>F9-E10</f>
        <v>1910</v>
      </c>
      <c r="G10" s="7" t="s">
        <v>97</v>
      </c>
      <c r="H10" s="7" t="s">
        <v>147</v>
      </c>
    </row>
    <row r="11" spans="1:8" ht="18" customHeight="1" x14ac:dyDescent="0.25">
      <c r="A11" s="2" t="s">
        <v>154</v>
      </c>
      <c r="B11" s="2" t="s">
        <v>102</v>
      </c>
      <c r="C11" s="2" t="s">
        <v>82</v>
      </c>
      <c r="D11" s="2" t="s">
        <v>155</v>
      </c>
      <c r="E11" s="15">
        <v>540</v>
      </c>
      <c r="F11" s="16">
        <f>F10-E11</f>
        <v>1370</v>
      </c>
      <c r="G11" s="2" t="s">
        <v>97</v>
      </c>
      <c r="H11" s="2" t="s">
        <v>147</v>
      </c>
    </row>
    <row r="12" spans="1:8" ht="18" customHeight="1" x14ac:dyDescent="0.25">
      <c r="A12" s="7" t="s">
        <v>156</v>
      </c>
      <c r="B12" s="7" t="s">
        <v>103</v>
      </c>
      <c r="C12" s="7" t="s">
        <v>83</v>
      </c>
      <c r="D12" s="7" t="s">
        <v>157</v>
      </c>
      <c r="E12" s="15">
        <v>480</v>
      </c>
      <c r="F12" s="16">
        <f>F11-E12</f>
        <v>890</v>
      </c>
      <c r="G12" s="7" t="s">
        <v>97</v>
      </c>
      <c r="H12" s="7" t="s">
        <v>147</v>
      </c>
    </row>
    <row r="13" spans="1:8" ht="18" customHeight="1" x14ac:dyDescent="0.25">
      <c r="A13" s="2"/>
      <c r="B13" s="17"/>
      <c r="C13" s="17"/>
      <c r="D13" s="17"/>
      <c r="E13" s="17"/>
      <c r="F13" s="18">
        <f t="shared" ref="F13:F27" si="0">IF(E13="",F12,F12-E13)</f>
        <v>890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890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890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890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890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890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890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890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890</v>
      </c>
      <c r="G21" s="17"/>
      <c r="H21" s="17"/>
    </row>
    <row r="22" spans="1:8" ht="18" customHeight="1" x14ac:dyDescent="0.25">
      <c r="A22" s="7"/>
      <c r="B22" s="17"/>
      <c r="C22" s="17"/>
      <c r="D22" s="17"/>
      <c r="E22" s="17"/>
      <c r="F22" s="19">
        <f t="shared" si="0"/>
        <v>890</v>
      </c>
      <c r="G22" s="17"/>
      <c r="H22" s="17"/>
    </row>
    <row r="23" spans="1:8" ht="18" customHeight="1" x14ac:dyDescent="0.25">
      <c r="A23" s="2"/>
      <c r="B23" s="17"/>
      <c r="C23" s="17"/>
      <c r="D23" s="17"/>
      <c r="E23" s="17"/>
      <c r="F23" s="18">
        <f t="shared" si="0"/>
        <v>890</v>
      </c>
      <c r="G23" s="17"/>
      <c r="H23" s="17"/>
    </row>
    <row r="24" spans="1:8" ht="18" customHeight="1" x14ac:dyDescent="0.25">
      <c r="A24" s="7"/>
      <c r="B24" s="17"/>
      <c r="C24" s="17"/>
      <c r="D24" s="17"/>
      <c r="E24" s="17"/>
      <c r="F24" s="19">
        <f t="shared" si="0"/>
        <v>890</v>
      </c>
      <c r="G24" s="17"/>
      <c r="H24" s="17"/>
    </row>
    <row r="25" spans="1:8" ht="18" customHeight="1" x14ac:dyDescent="0.25">
      <c r="A25" s="2"/>
      <c r="B25" s="17"/>
      <c r="C25" s="17"/>
      <c r="D25" s="17"/>
      <c r="E25" s="17"/>
      <c r="F25" s="18">
        <f t="shared" si="0"/>
        <v>890</v>
      </c>
      <c r="G25" s="17"/>
      <c r="H25" s="17"/>
    </row>
    <row r="26" spans="1:8" ht="18" customHeight="1" x14ac:dyDescent="0.25">
      <c r="A26" s="7"/>
      <c r="B26" s="17"/>
      <c r="C26" s="17"/>
      <c r="D26" s="17"/>
      <c r="E26" s="17"/>
      <c r="F26" s="19">
        <f t="shared" si="0"/>
        <v>890</v>
      </c>
      <c r="G26" s="17"/>
      <c r="H26" s="17"/>
    </row>
    <row r="27" spans="1:8" ht="18" customHeight="1" x14ac:dyDescent="0.25">
      <c r="A27" s="2"/>
      <c r="B27" s="17"/>
      <c r="C27" s="17"/>
      <c r="D27" s="17"/>
      <c r="E27" s="17"/>
      <c r="F27" s="18">
        <f t="shared" si="0"/>
        <v>890</v>
      </c>
      <c r="G27" s="17"/>
      <c r="H27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DE3EC"/>
  </sheetPr>
  <dimension ref="A1:H27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2" t="s">
        <v>158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48" t="s">
        <v>120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4110</v>
      </c>
      <c r="D4" s="61" t="s">
        <v>107</v>
      </c>
      <c r="E4" s="42"/>
      <c r="F4" s="13">
        <v>500</v>
      </c>
    </row>
    <row r="6" spans="1:8" ht="24" customHeight="1" x14ac:dyDescent="0.25">
      <c r="A6" s="14" t="s">
        <v>27</v>
      </c>
      <c r="B6" s="14" t="s">
        <v>142</v>
      </c>
      <c r="C6" s="14" t="s">
        <v>46</v>
      </c>
      <c r="D6" s="14" t="s">
        <v>110</v>
      </c>
      <c r="E6" s="14" t="s">
        <v>112</v>
      </c>
      <c r="F6" s="14" t="s">
        <v>143</v>
      </c>
      <c r="G6" s="14" t="s">
        <v>144</v>
      </c>
      <c r="H6" s="14" t="s">
        <v>40</v>
      </c>
    </row>
    <row r="7" spans="1:8" ht="18" customHeight="1" x14ac:dyDescent="0.25">
      <c r="A7" s="2" t="s">
        <v>159</v>
      </c>
      <c r="B7" s="2" t="s">
        <v>95</v>
      </c>
      <c r="C7" s="2" t="s">
        <v>75</v>
      </c>
      <c r="D7" s="2" t="s">
        <v>146</v>
      </c>
      <c r="E7" s="15">
        <v>780</v>
      </c>
      <c r="F7" s="16">
        <f>C4-E7</f>
        <v>3330</v>
      </c>
      <c r="G7" s="2" t="s">
        <v>97</v>
      </c>
      <c r="H7" s="2" t="s">
        <v>147</v>
      </c>
    </row>
    <row r="8" spans="1:8" ht="18" customHeight="1" x14ac:dyDescent="0.25">
      <c r="A8" s="7" t="s">
        <v>160</v>
      </c>
      <c r="B8" s="7" t="s">
        <v>98</v>
      </c>
      <c r="C8" s="7" t="s">
        <v>78</v>
      </c>
      <c r="D8" s="7" t="s">
        <v>149</v>
      </c>
      <c r="E8" s="15">
        <v>690</v>
      </c>
      <c r="F8" s="16">
        <f>F7-E8</f>
        <v>2640</v>
      </c>
      <c r="G8" s="7" t="s">
        <v>97</v>
      </c>
      <c r="H8" s="7" t="s">
        <v>147</v>
      </c>
    </row>
    <row r="9" spans="1:8" ht="18" customHeight="1" x14ac:dyDescent="0.25">
      <c r="A9" s="2" t="s">
        <v>161</v>
      </c>
      <c r="B9" s="2" t="s">
        <v>99</v>
      </c>
      <c r="C9" s="2" t="s">
        <v>79</v>
      </c>
      <c r="D9" s="2" t="s">
        <v>151</v>
      </c>
      <c r="E9" s="15">
        <v>600</v>
      </c>
      <c r="F9" s="16">
        <f>F8-E9</f>
        <v>2040</v>
      </c>
      <c r="G9" s="2" t="s">
        <v>97</v>
      </c>
      <c r="H9" s="2" t="s">
        <v>147</v>
      </c>
    </row>
    <row r="10" spans="1:8" ht="18" customHeight="1" x14ac:dyDescent="0.25">
      <c r="A10" s="7" t="s">
        <v>162</v>
      </c>
      <c r="B10" s="7" t="s">
        <v>100</v>
      </c>
      <c r="C10" s="7" t="s">
        <v>81</v>
      </c>
      <c r="D10" s="7" t="s">
        <v>153</v>
      </c>
      <c r="E10" s="15">
        <v>520</v>
      </c>
      <c r="F10" s="16">
        <f>F9-E10</f>
        <v>1520</v>
      </c>
      <c r="G10" s="7" t="s">
        <v>97</v>
      </c>
      <c r="H10" s="7" t="s">
        <v>147</v>
      </c>
    </row>
    <row r="11" spans="1:8" ht="18" customHeight="1" x14ac:dyDescent="0.25">
      <c r="A11" s="2" t="s">
        <v>163</v>
      </c>
      <c r="B11" s="2" t="s">
        <v>102</v>
      </c>
      <c r="C11" s="2" t="s">
        <v>82</v>
      </c>
      <c r="D11" s="2" t="s">
        <v>155</v>
      </c>
      <c r="E11" s="15">
        <v>460</v>
      </c>
      <c r="F11" s="16">
        <f>F10-E11</f>
        <v>1060</v>
      </c>
      <c r="G11" s="2" t="s">
        <v>97</v>
      </c>
      <c r="H11" s="2" t="s">
        <v>147</v>
      </c>
    </row>
    <row r="12" spans="1:8" ht="18" customHeight="1" x14ac:dyDescent="0.25">
      <c r="A12" s="7" t="s">
        <v>164</v>
      </c>
      <c r="B12" s="7" t="s">
        <v>103</v>
      </c>
      <c r="C12" s="7" t="s">
        <v>83</v>
      </c>
      <c r="D12" s="7" t="s">
        <v>157</v>
      </c>
      <c r="E12" s="15">
        <v>390</v>
      </c>
      <c r="F12" s="16">
        <f>F11-E12</f>
        <v>670</v>
      </c>
      <c r="G12" s="7" t="s">
        <v>97</v>
      </c>
      <c r="H12" s="7" t="s">
        <v>147</v>
      </c>
    </row>
    <row r="13" spans="1:8" ht="18" customHeight="1" x14ac:dyDescent="0.25">
      <c r="A13" s="2"/>
      <c r="B13" s="17"/>
      <c r="C13" s="17"/>
      <c r="D13" s="17"/>
      <c r="E13" s="17"/>
      <c r="F13" s="18">
        <f t="shared" ref="F13:F27" si="0">IF(E13="",F12,F12-E13)</f>
        <v>670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670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670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670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670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670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670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670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670</v>
      </c>
      <c r="G21" s="17"/>
      <c r="H21" s="17"/>
    </row>
    <row r="22" spans="1:8" ht="18" customHeight="1" x14ac:dyDescent="0.25">
      <c r="A22" s="7"/>
      <c r="B22" s="17"/>
      <c r="C22" s="17"/>
      <c r="D22" s="17"/>
      <c r="E22" s="17"/>
      <c r="F22" s="19">
        <f t="shared" si="0"/>
        <v>670</v>
      </c>
      <c r="G22" s="17"/>
      <c r="H22" s="17"/>
    </row>
    <row r="23" spans="1:8" ht="18" customHeight="1" x14ac:dyDescent="0.25">
      <c r="A23" s="2"/>
      <c r="B23" s="17"/>
      <c r="C23" s="17"/>
      <c r="D23" s="17"/>
      <c r="E23" s="17"/>
      <c r="F23" s="18">
        <f t="shared" si="0"/>
        <v>670</v>
      </c>
      <c r="G23" s="17"/>
      <c r="H23" s="17"/>
    </row>
    <row r="24" spans="1:8" ht="18" customHeight="1" x14ac:dyDescent="0.25">
      <c r="A24" s="7"/>
      <c r="B24" s="17"/>
      <c r="C24" s="17"/>
      <c r="D24" s="17"/>
      <c r="E24" s="17"/>
      <c r="F24" s="19">
        <f t="shared" si="0"/>
        <v>670</v>
      </c>
      <c r="G24" s="17"/>
      <c r="H24" s="17"/>
    </row>
    <row r="25" spans="1:8" ht="18" customHeight="1" x14ac:dyDescent="0.25">
      <c r="A25" s="2"/>
      <c r="B25" s="17"/>
      <c r="C25" s="17"/>
      <c r="D25" s="17"/>
      <c r="E25" s="17"/>
      <c r="F25" s="18">
        <f t="shared" si="0"/>
        <v>670</v>
      </c>
      <c r="G25" s="17"/>
      <c r="H25" s="17"/>
    </row>
    <row r="26" spans="1:8" ht="18" customHeight="1" x14ac:dyDescent="0.25">
      <c r="A26" s="7"/>
      <c r="B26" s="17"/>
      <c r="C26" s="17"/>
      <c r="D26" s="17"/>
      <c r="E26" s="17"/>
      <c r="F26" s="19">
        <f t="shared" si="0"/>
        <v>670</v>
      </c>
      <c r="G26" s="17"/>
      <c r="H26" s="17"/>
    </row>
    <row r="27" spans="1:8" ht="18" customHeight="1" x14ac:dyDescent="0.25">
      <c r="A27" s="2"/>
      <c r="B27" s="17"/>
      <c r="C27" s="17"/>
      <c r="D27" s="17"/>
      <c r="E27" s="17"/>
      <c r="F27" s="18">
        <f t="shared" si="0"/>
        <v>670</v>
      </c>
      <c r="G27" s="17"/>
      <c r="H27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07B00"/>
  </sheetPr>
  <dimension ref="A1:H27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4" t="s">
        <v>165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63" t="s">
        <v>166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3570</v>
      </c>
      <c r="D4" s="61" t="s">
        <v>107</v>
      </c>
      <c r="E4" s="42"/>
      <c r="F4" s="13">
        <v>500</v>
      </c>
    </row>
    <row r="6" spans="1:8" ht="24" customHeight="1" x14ac:dyDescent="0.25">
      <c r="A6" s="6" t="s">
        <v>27</v>
      </c>
      <c r="B6" s="6" t="s">
        <v>142</v>
      </c>
      <c r="C6" s="6" t="s">
        <v>46</v>
      </c>
      <c r="D6" s="6" t="s">
        <v>110</v>
      </c>
      <c r="E6" s="6" t="s">
        <v>112</v>
      </c>
      <c r="F6" s="6" t="s">
        <v>143</v>
      </c>
      <c r="G6" s="6" t="s">
        <v>144</v>
      </c>
      <c r="H6" s="6" t="s">
        <v>40</v>
      </c>
    </row>
    <row r="7" spans="1:8" ht="18" customHeight="1" x14ac:dyDescent="0.25">
      <c r="A7" s="2"/>
      <c r="B7" s="2" t="s">
        <v>95</v>
      </c>
      <c r="C7" s="2" t="s">
        <v>75</v>
      </c>
      <c r="D7" s="2" t="s">
        <v>146</v>
      </c>
      <c r="E7" s="20"/>
      <c r="F7" s="18"/>
      <c r="G7" s="2" t="s">
        <v>97</v>
      </c>
      <c r="H7" s="2" t="s">
        <v>147</v>
      </c>
    </row>
    <row r="8" spans="1:8" ht="18" customHeight="1" x14ac:dyDescent="0.25">
      <c r="A8" s="7"/>
      <c r="B8" s="7" t="s">
        <v>98</v>
      </c>
      <c r="C8" s="7" t="s">
        <v>78</v>
      </c>
      <c r="D8" s="7" t="s">
        <v>149</v>
      </c>
      <c r="E8" s="20"/>
      <c r="F8" s="19"/>
      <c r="G8" s="7" t="s">
        <v>97</v>
      </c>
      <c r="H8" s="7" t="s">
        <v>147</v>
      </c>
    </row>
    <row r="9" spans="1:8" ht="18" customHeight="1" x14ac:dyDescent="0.25">
      <c r="A9" s="2"/>
      <c r="B9" s="2" t="s">
        <v>99</v>
      </c>
      <c r="C9" s="2" t="s">
        <v>79</v>
      </c>
      <c r="D9" s="2" t="s">
        <v>151</v>
      </c>
      <c r="E9" s="20"/>
      <c r="F9" s="18"/>
      <c r="G9" s="2" t="s">
        <v>97</v>
      </c>
      <c r="H9" s="2" t="s">
        <v>147</v>
      </c>
    </row>
    <row r="10" spans="1:8" ht="18" customHeight="1" x14ac:dyDescent="0.25">
      <c r="A10" s="7"/>
      <c r="B10" s="7" t="s">
        <v>100</v>
      </c>
      <c r="C10" s="7" t="s">
        <v>81</v>
      </c>
      <c r="D10" s="7" t="s">
        <v>153</v>
      </c>
      <c r="E10" s="20"/>
      <c r="F10" s="19"/>
      <c r="G10" s="7" t="s">
        <v>97</v>
      </c>
      <c r="H10" s="7" t="s">
        <v>147</v>
      </c>
    </row>
    <row r="11" spans="1:8" ht="18" customHeight="1" x14ac:dyDescent="0.25">
      <c r="A11" s="2"/>
      <c r="B11" s="2" t="s">
        <v>102</v>
      </c>
      <c r="C11" s="2" t="s">
        <v>82</v>
      </c>
      <c r="D11" s="2" t="s">
        <v>155</v>
      </c>
      <c r="E11" s="20"/>
      <c r="F11" s="18"/>
      <c r="G11" s="2" t="s">
        <v>97</v>
      </c>
      <c r="H11" s="2" t="s">
        <v>147</v>
      </c>
    </row>
    <row r="12" spans="1:8" ht="18" customHeight="1" x14ac:dyDescent="0.25">
      <c r="A12" s="7"/>
      <c r="B12" s="7" t="s">
        <v>103</v>
      </c>
      <c r="C12" s="7" t="s">
        <v>83</v>
      </c>
      <c r="D12" s="7" t="s">
        <v>157</v>
      </c>
      <c r="E12" s="20"/>
      <c r="F12" s="19"/>
      <c r="G12" s="7" t="s">
        <v>97</v>
      </c>
      <c r="H12" s="7" t="s">
        <v>147</v>
      </c>
    </row>
    <row r="13" spans="1:8" ht="18" customHeight="1" x14ac:dyDescent="0.25">
      <c r="A13" s="2"/>
      <c r="B13" s="17"/>
      <c r="C13" s="17"/>
      <c r="D13" s="17"/>
      <c r="E13" s="17"/>
      <c r="F13" s="18">
        <f t="shared" ref="F13:F27" si="0">IF(E13="",F12,F12-E13)</f>
        <v>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0</v>
      </c>
      <c r="G21" s="17"/>
      <c r="H21" s="17"/>
    </row>
    <row r="22" spans="1:8" ht="18" customHeight="1" x14ac:dyDescent="0.25">
      <c r="A22" s="7"/>
      <c r="B22" s="17"/>
      <c r="C22" s="17"/>
      <c r="D22" s="17"/>
      <c r="E22" s="17"/>
      <c r="F22" s="19">
        <f t="shared" si="0"/>
        <v>0</v>
      </c>
      <c r="G22" s="17"/>
      <c r="H22" s="17"/>
    </row>
    <row r="23" spans="1:8" ht="18" customHeight="1" x14ac:dyDescent="0.25">
      <c r="A23" s="2"/>
      <c r="B23" s="17"/>
      <c r="C23" s="17"/>
      <c r="D23" s="17"/>
      <c r="E23" s="17"/>
      <c r="F23" s="18">
        <f t="shared" si="0"/>
        <v>0</v>
      </c>
      <c r="G23" s="17"/>
      <c r="H23" s="17"/>
    </row>
    <row r="24" spans="1:8" ht="18" customHeight="1" x14ac:dyDescent="0.25">
      <c r="A24" s="7"/>
      <c r="B24" s="17"/>
      <c r="C24" s="17"/>
      <c r="D24" s="17"/>
      <c r="E24" s="17"/>
      <c r="F24" s="19">
        <f t="shared" si="0"/>
        <v>0</v>
      </c>
      <c r="G24" s="17"/>
      <c r="H24" s="17"/>
    </row>
    <row r="25" spans="1:8" ht="18" customHeight="1" x14ac:dyDescent="0.25">
      <c r="A25" s="2"/>
      <c r="B25" s="17"/>
      <c r="C25" s="17"/>
      <c r="D25" s="17"/>
      <c r="E25" s="17"/>
      <c r="F25" s="18">
        <f t="shared" si="0"/>
        <v>0</v>
      </c>
      <c r="G25" s="17"/>
      <c r="H25" s="17"/>
    </row>
    <row r="26" spans="1:8" ht="18" customHeight="1" x14ac:dyDescent="0.25">
      <c r="A26" s="7"/>
      <c r="B26" s="17"/>
      <c r="C26" s="17"/>
      <c r="D26" s="17"/>
      <c r="E26" s="17"/>
      <c r="F26" s="19">
        <f t="shared" si="0"/>
        <v>0</v>
      </c>
      <c r="G26" s="17"/>
      <c r="H26" s="17"/>
    </row>
    <row r="27" spans="1:8" ht="18" customHeight="1" x14ac:dyDescent="0.25">
      <c r="A27" s="2"/>
      <c r="B27" s="17"/>
      <c r="C27" s="17"/>
      <c r="D27" s="17"/>
      <c r="E27" s="17"/>
      <c r="F27" s="18">
        <f t="shared" si="0"/>
        <v>0</v>
      </c>
      <c r="G27" s="17"/>
      <c r="H27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5E6D0"/>
  </sheetPr>
  <dimension ref="A1:H21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0" t="s">
        <v>167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59" t="s">
        <v>168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2570</v>
      </c>
      <c r="D4" s="61" t="s">
        <v>107</v>
      </c>
      <c r="E4" s="42"/>
      <c r="F4" s="13">
        <v>500</v>
      </c>
    </row>
    <row r="6" spans="1:8" ht="24" customHeight="1" x14ac:dyDescent="0.25">
      <c r="A6" s="11" t="s">
        <v>27</v>
      </c>
      <c r="B6" s="11" t="s">
        <v>142</v>
      </c>
      <c r="C6" s="11" t="s">
        <v>46</v>
      </c>
      <c r="D6" s="11" t="s">
        <v>110</v>
      </c>
      <c r="E6" s="11" t="s">
        <v>112</v>
      </c>
      <c r="F6" s="11" t="s">
        <v>143</v>
      </c>
      <c r="G6" s="11" t="s">
        <v>144</v>
      </c>
      <c r="H6" s="11" t="s">
        <v>40</v>
      </c>
    </row>
    <row r="7" spans="1:8" ht="18" customHeight="1" x14ac:dyDescent="0.25">
      <c r="A7" s="2"/>
      <c r="B7" s="17"/>
      <c r="C7" s="17"/>
      <c r="D7" s="17"/>
      <c r="E7" s="17"/>
      <c r="F7" s="18">
        <f>IF(E7="",C4,C4-E7)</f>
        <v>2570</v>
      </c>
      <c r="G7" s="17"/>
      <c r="H7" s="17"/>
    </row>
    <row r="8" spans="1:8" ht="18" customHeight="1" x14ac:dyDescent="0.25">
      <c r="A8" s="7"/>
      <c r="B8" s="17"/>
      <c r="C8" s="17"/>
      <c r="D8" s="17"/>
      <c r="E8" s="17"/>
      <c r="F8" s="19">
        <f t="shared" ref="F8:F21" si="0">IF(E8="",F7,F7-E8)</f>
        <v>2570</v>
      </c>
      <c r="G8" s="17"/>
      <c r="H8" s="17"/>
    </row>
    <row r="9" spans="1:8" ht="18" customHeight="1" x14ac:dyDescent="0.25">
      <c r="A9" s="2"/>
      <c r="B9" s="17"/>
      <c r="C9" s="17"/>
      <c r="D9" s="17"/>
      <c r="E9" s="17"/>
      <c r="F9" s="18">
        <f t="shared" si="0"/>
        <v>2570</v>
      </c>
      <c r="G9" s="17"/>
      <c r="H9" s="17"/>
    </row>
    <row r="10" spans="1:8" ht="18" customHeight="1" x14ac:dyDescent="0.25">
      <c r="A10" s="7"/>
      <c r="B10" s="17"/>
      <c r="C10" s="17"/>
      <c r="D10" s="17"/>
      <c r="E10" s="17"/>
      <c r="F10" s="19">
        <f t="shared" si="0"/>
        <v>2570</v>
      </c>
      <c r="G10" s="17"/>
      <c r="H10" s="17"/>
    </row>
    <row r="11" spans="1:8" ht="18" customHeight="1" x14ac:dyDescent="0.25">
      <c r="A11" s="2"/>
      <c r="B11" s="17"/>
      <c r="C11" s="17"/>
      <c r="D11" s="17"/>
      <c r="E11" s="17"/>
      <c r="F11" s="18">
        <f t="shared" si="0"/>
        <v>2570</v>
      </c>
      <c r="G11" s="17"/>
      <c r="H11" s="17"/>
    </row>
    <row r="12" spans="1:8" ht="18" customHeight="1" x14ac:dyDescent="0.25">
      <c r="A12" s="7"/>
      <c r="B12" s="17"/>
      <c r="C12" s="17"/>
      <c r="D12" s="17"/>
      <c r="E12" s="17"/>
      <c r="F12" s="19">
        <f t="shared" si="0"/>
        <v>2570</v>
      </c>
      <c r="G12" s="17"/>
      <c r="H12" s="17"/>
    </row>
    <row r="13" spans="1:8" ht="18" customHeight="1" x14ac:dyDescent="0.25">
      <c r="A13" s="2"/>
      <c r="B13" s="17"/>
      <c r="C13" s="17"/>
      <c r="D13" s="17"/>
      <c r="E13" s="17"/>
      <c r="F13" s="18">
        <f t="shared" si="0"/>
        <v>2570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2570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2570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2570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2570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2570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2570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2570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2570</v>
      </c>
      <c r="G21" s="17"/>
      <c r="H21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5E6D0"/>
  </sheetPr>
  <dimension ref="A1:H21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0" t="s">
        <v>169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59" t="s">
        <v>170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1570</v>
      </c>
      <c r="D4" s="61" t="s">
        <v>107</v>
      </c>
      <c r="E4" s="42"/>
      <c r="F4" s="13">
        <v>500</v>
      </c>
    </row>
    <row r="6" spans="1:8" ht="24" customHeight="1" x14ac:dyDescent="0.25">
      <c r="A6" s="11" t="s">
        <v>27</v>
      </c>
      <c r="B6" s="11" t="s">
        <v>142</v>
      </c>
      <c r="C6" s="11" t="s">
        <v>46</v>
      </c>
      <c r="D6" s="11" t="s">
        <v>110</v>
      </c>
      <c r="E6" s="11" t="s">
        <v>112</v>
      </c>
      <c r="F6" s="11" t="s">
        <v>143</v>
      </c>
      <c r="G6" s="11" t="s">
        <v>144</v>
      </c>
      <c r="H6" s="11" t="s">
        <v>40</v>
      </c>
    </row>
    <row r="7" spans="1:8" ht="18" customHeight="1" x14ac:dyDescent="0.25">
      <c r="A7" s="2"/>
      <c r="B7" s="17"/>
      <c r="C7" s="17"/>
      <c r="D7" s="17"/>
      <c r="E7" s="17"/>
      <c r="F7" s="18">
        <f>IF(E7="",C4,C4-E7)</f>
        <v>1570</v>
      </c>
      <c r="G7" s="17"/>
      <c r="H7" s="17"/>
    </row>
    <row r="8" spans="1:8" ht="18" customHeight="1" x14ac:dyDescent="0.25">
      <c r="A8" s="7"/>
      <c r="B8" s="17"/>
      <c r="C8" s="17"/>
      <c r="D8" s="17"/>
      <c r="E8" s="17"/>
      <c r="F8" s="19">
        <f t="shared" ref="F8:F21" si="0">IF(E8="",F7,F7-E8)</f>
        <v>1570</v>
      </c>
      <c r="G8" s="17"/>
      <c r="H8" s="17"/>
    </row>
    <row r="9" spans="1:8" ht="18" customHeight="1" x14ac:dyDescent="0.25">
      <c r="A9" s="2"/>
      <c r="B9" s="17"/>
      <c r="C9" s="17"/>
      <c r="D9" s="17"/>
      <c r="E9" s="17"/>
      <c r="F9" s="18">
        <f t="shared" si="0"/>
        <v>1570</v>
      </c>
      <c r="G9" s="17"/>
      <c r="H9" s="17"/>
    </row>
    <row r="10" spans="1:8" ht="18" customHeight="1" x14ac:dyDescent="0.25">
      <c r="A10" s="7"/>
      <c r="B10" s="17"/>
      <c r="C10" s="17"/>
      <c r="D10" s="17"/>
      <c r="E10" s="17"/>
      <c r="F10" s="19">
        <f t="shared" si="0"/>
        <v>1570</v>
      </c>
      <c r="G10" s="17"/>
      <c r="H10" s="17"/>
    </row>
    <row r="11" spans="1:8" ht="18" customHeight="1" x14ac:dyDescent="0.25">
      <c r="A11" s="2"/>
      <c r="B11" s="17"/>
      <c r="C11" s="17"/>
      <c r="D11" s="17"/>
      <c r="E11" s="17"/>
      <c r="F11" s="18">
        <f t="shared" si="0"/>
        <v>1570</v>
      </c>
      <c r="G11" s="17"/>
      <c r="H11" s="17"/>
    </row>
    <row r="12" spans="1:8" ht="18" customHeight="1" x14ac:dyDescent="0.25">
      <c r="A12" s="7"/>
      <c r="B12" s="17"/>
      <c r="C12" s="17"/>
      <c r="D12" s="17"/>
      <c r="E12" s="17"/>
      <c r="F12" s="19">
        <f t="shared" si="0"/>
        <v>1570</v>
      </c>
      <c r="G12" s="17"/>
      <c r="H12" s="17"/>
    </row>
    <row r="13" spans="1:8" ht="18" customHeight="1" x14ac:dyDescent="0.25">
      <c r="A13" s="2"/>
      <c r="B13" s="17"/>
      <c r="C13" s="17"/>
      <c r="D13" s="17"/>
      <c r="E13" s="17"/>
      <c r="F13" s="18">
        <f t="shared" si="0"/>
        <v>1570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1570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1570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1570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1570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1570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1570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1570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1570</v>
      </c>
      <c r="G21" s="17"/>
      <c r="H21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5E6D0"/>
  </sheetPr>
  <dimension ref="A1:H21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0" t="s">
        <v>171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59" t="s">
        <v>172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570</v>
      </c>
      <c r="D4" s="61" t="s">
        <v>107</v>
      </c>
      <c r="E4" s="42"/>
      <c r="F4" s="13">
        <v>500</v>
      </c>
    </row>
    <row r="6" spans="1:8" ht="24" customHeight="1" x14ac:dyDescent="0.25">
      <c r="A6" s="11" t="s">
        <v>27</v>
      </c>
      <c r="B6" s="11" t="s">
        <v>142</v>
      </c>
      <c r="C6" s="11" t="s">
        <v>46</v>
      </c>
      <c r="D6" s="11" t="s">
        <v>110</v>
      </c>
      <c r="E6" s="11" t="s">
        <v>112</v>
      </c>
      <c r="F6" s="11" t="s">
        <v>143</v>
      </c>
      <c r="G6" s="11" t="s">
        <v>144</v>
      </c>
      <c r="H6" s="11" t="s">
        <v>40</v>
      </c>
    </row>
    <row r="7" spans="1:8" ht="18" customHeight="1" x14ac:dyDescent="0.25">
      <c r="A7" s="2"/>
      <c r="B7" s="17"/>
      <c r="C7" s="17"/>
      <c r="D7" s="17"/>
      <c r="E7" s="17"/>
      <c r="F7" s="18">
        <f>IF(E7="",C4,C4-E7)</f>
        <v>570</v>
      </c>
      <c r="G7" s="17"/>
      <c r="H7" s="17"/>
    </row>
    <row r="8" spans="1:8" ht="18" customHeight="1" x14ac:dyDescent="0.25">
      <c r="A8" s="7"/>
      <c r="B8" s="17"/>
      <c r="C8" s="17"/>
      <c r="D8" s="17"/>
      <c r="E8" s="17"/>
      <c r="F8" s="19">
        <f t="shared" ref="F8:F21" si="0">IF(E8="",F7,F7-E8)</f>
        <v>570</v>
      </c>
      <c r="G8" s="17"/>
      <c r="H8" s="17"/>
    </row>
    <row r="9" spans="1:8" ht="18" customHeight="1" x14ac:dyDescent="0.25">
      <c r="A9" s="2"/>
      <c r="B9" s="17"/>
      <c r="C9" s="17"/>
      <c r="D9" s="17"/>
      <c r="E9" s="17"/>
      <c r="F9" s="18">
        <f t="shared" si="0"/>
        <v>570</v>
      </c>
      <c r="G9" s="17"/>
      <c r="H9" s="17"/>
    </row>
    <row r="10" spans="1:8" ht="18" customHeight="1" x14ac:dyDescent="0.25">
      <c r="A10" s="7"/>
      <c r="B10" s="17"/>
      <c r="C10" s="17"/>
      <c r="D10" s="17"/>
      <c r="E10" s="17"/>
      <c r="F10" s="19">
        <f t="shared" si="0"/>
        <v>570</v>
      </c>
      <c r="G10" s="17"/>
      <c r="H10" s="17"/>
    </row>
    <row r="11" spans="1:8" ht="18" customHeight="1" x14ac:dyDescent="0.25">
      <c r="A11" s="2"/>
      <c r="B11" s="17"/>
      <c r="C11" s="17"/>
      <c r="D11" s="17"/>
      <c r="E11" s="17"/>
      <c r="F11" s="18">
        <f t="shared" si="0"/>
        <v>570</v>
      </c>
      <c r="G11" s="17"/>
      <c r="H11" s="17"/>
    </row>
    <row r="12" spans="1:8" ht="18" customHeight="1" x14ac:dyDescent="0.25">
      <c r="A12" s="7"/>
      <c r="B12" s="17"/>
      <c r="C12" s="17"/>
      <c r="D12" s="17"/>
      <c r="E12" s="17"/>
      <c r="F12" s="19">
        <f t="shared" si="0"/>
        <v>570</v>
      </c>
      <c r="G12" s="17"/>
      <c r="H12" s="17"/>
    </row>
    <row r="13" spans="1:8" ht="18" customHeight="1" x14ac:dyDescent="0.25">
      <c r="A13" s="2"/>
      <c r="B13" s="17"/>
      <c r="C13" s="17"/>
      <c r="D13" s="17"/>
      <c r="E13" s="17"/>
      <c r="F13" s="18">
        <f t="shared" si="0"/>
        <v>570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570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570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570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570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570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570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570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570</v>
      </c>
      <c r="G21" s="17"/>
      <c r="H21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5E6D0"/>
  </sheetPr>
  <dimension ref="A1:H21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0" t="s">
        <v>173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59" t="s">
        <v>174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0</v>
      </c>
      <c r="D4" s="61" t="s">
        <v>107</v>
      </c>
      <c r="E4" s="42"/>
      <c r="F4" s="13">
        <v>500</v>
      </c>
    </row>
    <row r="6" spans="1:8" ht="24" customHeight="1" x14ac:dyDescent="0.25">
      <c r="A6" s="11" t="s">
        <v>27</v>
      </c>
      <c r="B6" s="11" t="s">
        <v>142</v>
      </c>
      <c r="C6" s="11" t="s">
        <v>46</v>
      </c>
      <c r="D6" s="11" t="s">
        <v>110</v>
      </c>
      <c r="E6" s="11" t="s">
        <v>112</v>
      </c>
      <c r="F6" s="11" t="s">
        <v>143</v>
      </c>
      <c r="G6" s="11" t="s">
        <v>144</v>
      </c>
      <c r="H6" s="11" t="s">
        <v>40</v>
      </c>
    </row>
    <row r="7" spans="1:8" ht="18" customHeight="1" x14ac:dyDescent="0.25">
      <c r="A7" s="2"/>
      <c r="B7" s="17"/>
      <c r="C7" s="17"/>
      <c r="D7" s="17"/>
      <c r="E7" s="17"/>
      <c r="F7" s="18">
        <f>IF(E7="",C4,C4-E7)</f>
        <v>0</v>
      </c>
      <c r="G7" s="17"/>
      <c r="H7" s="17"/>
    </row>
    <row r="8" spans="1:8" ht="18" customHeight="1" x14ac:dyDescent="0.25">
      <c r="A8" s="7"/>
      <c r="B8" s="17"/>
      <c r="C8" s="17"/>
      <c r="D8" s="17"/>
      <c r="E8" s="17"/>
      <c r="F8" s="19">
        <f t="shared" ref="F8:F21" si="0">IF(E8="",F7,F7-E8)</f>
        <v>0</v>
      </c>
      <c r="G8" s="17"/>
      <c r="H8" s="17"/>
    </row>
    <row r="9" spans="1:8" ht="18" customHeight="1" x14ac:dyDescent="0.25">
      <c r="A9" s="2"/>
      <c r="B9" s="17"/>
      <c r="C9" s="17"/>
      <c r="D9" s="17"/>
      <c r="E9" s="17"/>
      <c r="F9" s="18">
        <f t="shared" si="0"/>
        <v>0</v>
      </c>
      <c r="G9" s="17"/>
      <c r="H9" s="17"/>
    </row>
    <row r="10" spans="1:8" ht="18" customHeight="1" x14ac:dyDescent="0.25">
      <c r="A10" s="7"/>
      <c r="B10" s="17"/>
      <c r="C10" s="17"/>
      <c r="D10" s="17"/>
      <c r="E10" s="17"/>
      <c r="F10" s="19">
        <f t="shared" si="0"/>
        <v>0</v>
      </c>
      <c r="G10" s="17"/>
      <c r="H10" s="17"/>
    </row>
    <row r="11" spans="1:8" ht="18" customHeight="1" x14ac:dyDescent="0.25">
      <c r="A11" s="2"/>
      <c r="B11" s="17"/>
      <c r="C11" s="17"/>
      <c r="D11" s="17"/>
      <c r="E11" s="17"/>
      <c r="F11" s="18">
        <f t="shared" si="0"/>
        <v>0</v>
      </c>
      <c r="G11" s="17"/>
      <c r="H11" s="17"/>
    </row>
    <row r="12" spans="1:8" ht="18" customHeight="1" x14ac:dyDescent="0.25">
      <c r="A12" s="7"/>
      <c r="B12" s="17"/>
      <c r="C12" s="17"/>
      <c r="D12" s="17"/>
      <c r="E12" s="17"/>
      <c r="F12" s="19">
        <f t="shared" si="0"/>
        <v>0</v>
      </c>
      <c r="G12" s="17"/>
      <c r="H12" s="17"/>
    </row>
    <row r="13" spans="1:8" ht="18" customHeight="1" x14ac:dyDescent="0.25">
      <c r="A13" s="2"/>
      <c r="B13" s="17"/>
      <c r="C13" s="17"/>
      <c r="D13" s="17"/>
      <c r="E13" s="17"/>
      <c r="F13" s="18">
        <f t="shared" si="0"/>
        <v>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0</v>
      </c>
      <c r="G21" s="17"/>
      <c r="H21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5E6D0"/>
  </sheetPr>
  <dimension ref="A1:H21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0" t="s">
        <v>175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59" t="s">
        <v>176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0</v>
      </c>
      <c r="D4" s="61" t="s">
        <v>107</v>
      </c>
      <c r="E4" s="42"/>
      <c r="F4" s="13">
        <v>500</v>
      </c>
    </row>
    <row r="6" spans="1:8" ht="24" customHeight="1" x14ac:dyDescent="0.25">
      <c r="A6" s="11" t="s">
        <v>27</v>
      </c>
      <c r="B6" s="11" t="s">
        <v>142</v>
      </c>
      <c r="C6" s="11" t="s">
        <v>46</v>
      </c>
      <c r="D6" s="11" t="s">
        <v>110</v>
      </c>
      <c r="E6" s="11" t="s">
        <v>112</v>
      </c>
      <c r="F6" s="11" t="s">
        <v>143</v>
      </c>
      <c r="G6" s="11" t="s">
        <v>144</v>
      </c>
      <c r="H6" s="11" t="s">
        <v>40</v>
      </c>
    </row>
    <row r="7" spans="1:8" ht="18" customHeight="1" x14ac:dyDescent="0.25">
      <c r="A7" s="2"/>
      <c r="B7" s="17"/>
      <c r="C7" s="17"/>
      <c r="D7" s="17"/>
      <c r="E7" s="17"/>
      <c r="F7" s="18">
        <f>IF(E7="",C4,C4-E7)</f>
        <v>0</v>
      </c>
      <c r="G7" s="17"/>
      <c r="H7" s="17"/>
    </row>
    <row r="8" spans="1:8" ht="18" customHeight="1" x14ac:dyDescent="0.25">
      <c r="A8" s="7"/>
      <c r="B8" s="17"/>
      <c r="C8" s="17"/>
      <c r="D8" s="17"/>
      <c r="E8" s="17"/>
      <c r="F8" s="19">
        <f t="shared" ref="F8:F21" si="0">IF(E8="",F7,F7-E8)</f>
        <v>0</v>
      </c>
      <c r="G8" s="17"/>
      <c r="H8" s="17"/>
    </row>
    <row r="9" spans="1:8" ht="18" customHeight="1" x14ac:dyDescent="0.25">
      <c r="A9" s="2"/>
      <c r="B9" s="17"/>
      <c r="C9" s="17"/>
      <c r="D9" s="17"/>
      <c r="E9" s="17"/>
      <c r="F9" s="18">
        <f t="shared" si="0"/>
        <v>0</v>
      </c>
      <c r="G9" s="17"/>
      <c r="H9" s="17"/>
    </row>
    <row r="10" spans="1:8" ht="18" customHeight="1" x14ac:dyDescent="0.25">
      <c r="A10" s="7"/>
      <c r="B10" s="17"/>
      <c r="C10" s="17"/>
      <c r="D10" s="17"/>
      <c r="E10" s="17"/>
      <c r="F10" s="19">
        <f t="shared" si="0"/>
        <v>0</v>
      </c>
      <c r="G10" s="17"/>
      <c r="H10" s="17"/>
    </row>
    <row r="11" spans="1:8" ht="18" customHeight="1" x14ac:dyDescent="0.25">
      <c r="A11" s="2"/>
      <c r="B11" s="17"/>
      <c r="C11" s="17"/>
      <c r="D11" s="17"/>
      <c r="E11" s="17"/>
      <c r="F11" s="18">
        <f t="shared" si="0"/>
        <v>0</v>
      </c>
      <c r="G11" s="17"/>
      <c r="H11" s="17"/>
    </row>
    <row r="12" spans="1:8" ht="18" customHeight="1" x14ac:dyDescent="0.25">
      <c r="A12" s="7"/>
      <c r="B12" s="17"/>
      <c r="C12" s="17"/>
      <c r="D12" s="17"/>
      <c r="E12" s="17"/>
      <c r="F12" s="19">
        <f t="shared" si="0"/>
        <v>0</v>
      </c>
      <c r="G12" s="17"/>
      <c r="H12" s="17"/>
    </row>
    <row r="13" spans="1:8" ht="18" customHeight="1" x14ac:dyDescent="0.25">
      <c r="A13" s="2"/>
      <c r="B13" s="17"/>
      <c r="C13" s="17"/>
      <c r="D13" s="17"/>
      <c r="E13" s="17"/>
      <c r="F13" s="18">
        <f t="shared" si="0"/>
        <v>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0</v>
      </c>
      <c r="G21" s="17"/>
      <c r="H21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5E6D0"/>
  </sheetPr>
  <dimension ref="A1:H21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0" t="s">
        <v>177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59" t="s">
        <v>178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0</v>
      </c>
      <c r="D4" s="61" t="s">
        <v>107</v>
      </c>
      <c r="E4" s="42"/>
      <c r="F4" s="13">
        <v>500</v>
      </c>
    </row>
    <row r="6" spans="1:8" ht="24" customHeight="1" x14ac:dyDescent="0.25">
      <c r="A6" s="11" t="s">
        <v>27</v>
      </c>
      <c r="B6" s="11" t="s">
        <v>142</v>
      </c>
      <c r="C6" s="11" t="s">
        <v>46</v>
      </c>
      <c r="D6" s="11" t="s">
        <v>110</v>
      </c>
      <c r="E6" s="11" t="s">
        <v>112</v>
      </c>
      <c r="F6" s="11" t="s">
        <v>143</v>
      </c>
      <c r="G6" s="11" t="s">
        <v>144</v>
      </c>
      <c r="H6" s="11" t="s">
        <v>40</v>
      </c>
    </row>
    <row r="7" spans="1:8" ht="18" customHeight="1" x14ac:dyDescent="0.25">
      <c r="A7" s="2"/>
      <c r="B7" s="17"/>
      <c r="C7" s="17"/>
      <c r="D7" s="17"/>
      <c r="E7" s="17"/>
      <c r="F7" s="18">
        <f>IF(E7="",C4,C4-E7)</f>
        <v>0</v>
      </c>
      <c r="G7" s="17"/>
      <c r="H7" s="17"/>
    </row>
    <row r="8" spans="1:8" ht="18" customHeight="1" x14ac:dyDescent="0.25">
      <c r="A8" s="7"/>
      <c r="B8" s="17"/>
      <c r="C8" s="17"/>
      <c r="D8" s="17"/>
      <c r="E8" s="17"/>
      <c r="F8" s="19">
        <f t="shared" ref="F8:F21" si="0">IF(E8="",F7,F7-E8)</f>
        <v>0</v>
      </c>
      <c r="G8" s="17"/>
      <c r="H8" s="17"/>
    </row>
    <row r="9" spans="1:8" ht="18" customHeight="1" x14ac:dyDescent="0.25">
      <c r="A9" s="2"/>
      <c r="B9" s="17"/>
      <c r="C9" s="17"/>
      <c r="D9" s="17"/>
      <c r="E9" s="17"/>
      <c r="F9" s="18">
        <f t="shared" si="0"/>
        <v>0</v>
      </c>
      <c r="G9" s="17"/>
      <c r="H9" s="17"/>
    </row>
    <row r="10" spans="1:8" ht="18" customHeight="1" x14ac:dyDescent="0.25">
      <c r="A10" s="7"/>
      <c r="B10" s="17"/>
      <c r="C10" s="17"/>
      <c r="D10" s="17"/>
      <c r="E10" s="17"/>
      <c r="F10" s="19">
        <f t="shared" si="0"/>
        <v>0</v>
      </c>
      <c r="G10" s="17"/>
      <c r="H10" s="17"/>
    </row>
    <row r="11" spans="1:8" ht="18" customHeight="1" x14ac:dyDescent="0.25">
      <c r="A11" s="2"/>
      <c r="B11" s="17"/>
      <c r="C11" s="17"/>
      <c r="D11" s="17"/>
      <c r="E11" s="17"/>
      <c r="F11" s="18">
        <f t="shared" si="0"/>
        <v>0</v>
      </c>
      <c r="G11" s="17"/>
      <c r="H11" s="17"/>
    </row>
    <row r="12" spans="1:8" ht="18" customHeight="1" x14ac:dyDescent="0.25">
      <c r="A12" s="7"/>
      <c r="B12" s="17"/>
      <c r="C12" s="17"/>
      <c r="D12" s="17"/>
      <c r="E12" s="17"/>
      <c r="F12" s="19">
        <f t="shared" si="0"/>
        <v>0</v>
      </c>
      <c r="G12" s="17"/>
      <c r="H12" s="17"/>
    </row>
    <row r="13" spans="1:8" ht="18" customHeight="1" x14ac:dyDescent="0.25">
      <c r="A13" s="2"/>
      <c r="B13" s="17"/>
      <c r="C13" s="17"/>
      <c r="D13" s="17"/>
      <c r="E13" s="17"/>
      <c r="F13" s="18">
        <f t="shared" si="0"/>
        <v>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0</v>
      </c>
      <c r="G21" s="17"/>
      <c r="H21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5E6D0"/>
  </sheetPr>
  <dimension ref="A1:H21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0" t="s">
        <v>179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59" t="s">
        <v>180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0</v>
      </c>
      <c r="D4" s="61" t="s">
        <v>107</v>
      </c>
      <c r="E4" s="42"/>
      <c r="F4" s="13">
        <v>500</v>
      </c>
    </row>
    <row r="6" spans="1:8" ht="24" customHeight="1" x14ac:dyDescent="0.25">
      <c r="A6" s="11" t="s">
        <v>27</v>
      </c>
      <c r="B6" s="11" t="s">
        <v>142</v>
      </c>
      <c r="C6" s="11" t="s">
        <v>46</v>
      </c>
      <c r="D6" s="11" t="s">
        <v>110</v>
      </c>
      <c r="E6" s="11" t="s">
        <v>112</v>
      </c>
      <c r="F6" s="11" t="s">
        <v>143</v>
      </c>
      <c r="G6" s="11" t="s">
        <v>144</v>
      </c>
      <c r="H6" s="11" t="s">
        <v>40</v>
      </c>
    </row>
    <row r="7" spans="1:8" ht="18" customHeight="1" x14ac:dyDescent="0.25">
      <c r="A7" s="2"/>
      <c r="B7" s="17"/>
      <c r="C7" s="17"/>
      <c r="D7" s="17"/>
      <c r="E7" s="17"/>
      <c r="F7" s="18">
        <f>IF(E7="",C4,C4-E7)</f>
        <v>0</v>
      </c>
      <c r="G7" s="17"/>
      <c r="H7" s="17"/>
    </row>
    <row r="8" spans="1:8" ht="18" customHeight="1" x14ac:dyDescent="0.25">
      <c r="A8" s="7"/>
      <c r="B8" s="17"/>
      <c r="C8" s="17"/>
      <c r="D8" s="17"/>
      <c r="E8" s="17"/>
      <c r="F8" s="19">
        <f t="shared" ref="F8:F21" si="0">IF(E8="",F7,F7-E8)</f>
        <v>0</v>
      </c>
      <c r="G8" s="17"/>
      <c r="H8" s="17"/>
    </row>
    <row r="9" spans="1:8" ht="18" customHeight="1" x14ac:dyDescent="0.25">
      <c r="A9" s="2"/>
      <c r="B9" s="17"/>
      <c r="C9" s="17"/>
      <c r="D9" s="17"/>
      <c r="E9" s="17"/>
      <c r="F9" s="18">
        <f t="shared" si="0"/>
        <v>0</v>
      </c>
      <c r="G9" s="17"/>
      <c r="H9" s="17"/>
    </row>
    <row r="10" spans="1:8" ht="18" customHeight="1" x14ac:dyDescent="0.25">
      <c r="A10" s="7"/>
      <c r="B10" s="17"/>
      <c r="C10" s="17"/>
      <c r="D10" s="17"/>
      <c r="E10" s="17"/>
      <c r="F10" s="19">
        <f t="shared" si="0"/>
        <v>0</v>
      </c>
      <c r="G10" s="17"/>
      <c r="H10" s="17"/>
    </row>
    <row r="11" spans="1:8" ht="18" customHeight="1" x14ac:dyDescent="0.25">
      <c r="A11" s="2"/>
      <c r="B11" s="17"/>
      <c r="C11" s="17"/>
      <c r="D11" s="17"/>
      <c r="E11" s="17"/>
      <c r="F11" s="18">
        <f t="shared" si="0"/>
        <v>0</v>
      </c>
      <c r="G11" s="17"/>
      <c r="H11" s="17"/>
    </row>
    <row r="12" spans="1:8" ht="18" customHeight="1" x14ac:dyDescent="0.25">
      <c r="A12" s="7"/>
      <c r="B12" s="17"/>
      <c r="C12" s="17"/>
      <c r="D12" s="17"/>
      <c r="E12" s="17"/>
      <c r="F12" s="19">
        <f t="shared" si="0"/>
        <v>0</v>
      </c>
      <c r="G12" s="17"/>
      <c r="H12" s="17"/>
    </row>
    <row r="13" spans="1:8" ht="18" customHeight="1" x14ac:dyDescent="0.25">
      <c r="A13" s="2"/>
      <c r="B13" s="17"/>
      <c r="C13" s="17"/>
      <c r="D13" s="17"/>
      <c r="E13" s="17"/>
      <c r="F13" s="18">
        <f t="shared" si="0"/>
        <v>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0</v>
      </c>
      <c r="G21" s="17"/>
      <c r="H21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5E6D0"/>
  </sheetPr>
  <dimension ref="A1:H21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0" t="s">
        <v>181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59" t="s">
        <v>182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0</v>
      </c>
      <c r="D4" s="61" t="s">
        <v>107</v>
      </c>
      <c r="E4" s="42"/>
      <c r="F4" s="13">
        <v>500</v>
      </c>
    </row>
    <row r="6" spans="1:8" ht="24" customHeight="1" x14ac:dyDescent="0.25">
      <c r="A6" s="11" t="s">
        <v>27</v>
      </c>
      <c r="B6" s="11" t="s">
        <v>142</v>
      </c>
      <c r="C6" s="11" t="s">
        <v>46</v>
      </c>
      <c r="D6" s="11" t="s">
        <v>110</v>
      </c>
      <c r="E6" s="11" t="s">
        <v>112</v>
      </c>
      <c r="F6" s="11" t="s">
        <v>143</v>
      </c>
      <c r="G6" s="11" t="s">
        <v>144</v>
      </c>
      <c r="H6" s="11" t="s">
        <v>40</v>
      </c>
    </row>
    <row r="7" spans="1:8" ht="18" customHeight="1" x14ac:dyDescent="0.25">
      <c r="A7" s="2"/>
      <c r="B7" s="17"/>
      <c r="C7" s="17"/>
      <c r="D7" s="17"/>
      <c r="E7" s="17"/>
      <c r="F7" s="18">
        <f>IF(E7="",C4,C4-E7)</f>
        <v>0</v>
      </c>
      <c r="G7" s="17"/>
      <c r="H7" s="17"/>
    </row>
    <row r="8" spans="1:8" ht="18" customHeight="1" x14ac:dyDescent="0.25">
      <c r="A8" s="7"/>
      <c r="B8" s="17"/>
      <c r="C8" s="17"/>
      <c r="D8" s="17"/>
      <c r="E8" s="17"/>
      <c r="F8" s="19">
        <f t="shared" ref="F8:F21" si="0">IF(E8="",F7,F7-E8)</f>
        <v>0</v>
      </c>
      <c r="G8" s="17"/>
      <c r="H8" s="17"/>
    </row>
    <row r="9" spans="1:8" ht="18" customHeight="1" x14ac:dyDescent="0.25">
      <c r="A9" s="2"/>
      <c r="B9" s="17"/>
      <c r="C9" s="17"/>
      <c r="D9" s="17"/>
      <c r="E9" s="17"/>
      <c r="F9" s="18">
        <f t="shared" si="0"/>
        <v>0</v>
      </c>
      <c r="G9" s="17"/>
      <c r="H9" s="17"/>
    </row>
    <row r="10" spans="1:8" ht="18" customHeight="1" x14ac:dyDescent="0.25">
      <c r="A10" s="7"/>
      <c r="B10" s="17"/>
      <c r="C10" s="17"/>
      <c r="D10" s="17"/>
      <c r="E10" s="17"/>
      <c r="F10" s="19">
        <f t="shared" si="0"/>
        <v>0</v>
      </c>
      <c r="G10" s="17"/>
      <c r="H10" s="17"/>
    </row>
    <row r="11" spans="1:8" ht="18" customHeight="1" x14ac:dyDescent="0.25">
      <c r="A11" s="2"/>
      <c r="B11" s="17"/>
      <c r="C11" s="17"/>
      <c r="D11" s="17"/>
      <c r="E11" s="17"/>
      <c r="F11" s="18">
        <f t="shared" si="0"/>
        <v>0</v>
      </c>
      <c r="G11" s="17"/>
      <c r="H11" s="17"/>
    </row>
    <row r="12" spans="1:8" ht="18" customHeight="1" x14ac:dyDescent="0.25">
      <c r="A12" s="7"/>
      <c r="B12" s="17"/>
      <c r="C12" s="17"/>
      <c r="D12" s="17"/>
      <c r="E12" s="17"/>
      <c r="F12" s="19">
        <f t="shared" si="0"/>
        <v>0</v>
      </c>
      <c r="G12" s="17"/>
      <c r="H12" s="17"/>
    </row>
    <row r="13" spans="1:8" ht="18" customHeight="1" x14ac:dyDescent="0.25">
      <c r="A13" s="2"/>
      <c r="B13" s="17"/>
      <c r="C13" s="17"/>
      <c r="D13" s="17"/>
      <c r="E13" s="17"/>
      <c r="F13" s="18">
        <f t="shared" si="0"/>
        <v>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0</v>
      </c>
      <c r="G21" s="17"/>
      <c r="H21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5E6D0"/>
  </sheetPr>
  <dimension ref="A1:H21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6" customWidth="1"/>
    <col min="3" max="3" width="14" customWidth="1"/>
    <col min="4" max="4" width="1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32.1" customHeight="1" x14ac:dyDescent="0.25">
      <c r="A1" s="60" t="s">
        <v>183</v>
      </c>
      <c r="B1" s="42"/>
      <c r="C1" s="42"/>
      <c r="D1" s="42"/>
      <c r="E1" s="42"/>
      <c r="F1" s="42"/>
      <c r="G1" s="42"/>
      <c r="H1" s="42"/>
    </row>
    <row r="2" spans="1:8" ht="18" customHeight="1" x14ac:dyDescent="0.25">
      <c r="A2" s="59" t="s">
        <v>184</v>
      </c>
      <c r="B2" s="42"/>
      <c r="C2" s="42"/>
      <c r="D2" s="42"/>
      <c r="E2" s="42"/>
      <c r="F2" s="42"/>
      <c r="G2" s="42"/>
      <c r="H2" s="42"/>
    </row>
    <row r="4" spans="1:8" ht="21.95" customHeight="1" x14ac:dyDescent="0.25">
      <c r="A4" s="61" t="s">
        <v>106</v>
      </c>
      <c r="B4" s="42"/>
      <c r="C4" s="12">
        <v>0</v>
      </c>
      <c r="D4" s="61" t="s">
        <v>107</v>
      </c>
      <c r="E4" s="42"/>
      <c r="F4" s="13">
        <v>500</v>
      </c>
    </row>
    <row r="6" spans="1:8" ht="24" customHeight="1" x14ac:dyDescent="0.25">
      <c r="A6" s="11" t="s">
        <v>27</v>
      </c>
      <c r="B6" s="11" t="s">
        <v>142</v>
      </c>
      <c r="C6" s="11" t="s">
        <v>46</v>
      </c>
      <c r="D6" s="11" t="s">
        <v>110</v>
      </c>
      <c r="E6" s="11" t="s">
        <v>112</v>
      </c>
      <c r="F6" s="11" t="s">
        <v>143</v>
      </c>
      <c r="G6" s="11" t="s">
        <v>144</v>
      </c>
      <c r="H6" s="11" t="s">
        <v>40</v>
      </c>
    </row>
    <row r="7" spans="1:8" ht="18" customHeight="1" x14ac:dyDescent="0.25">
      <c r="A7" s="2"/>
      <c r="B7" s="17"/>
      <c r="C7" s="17"/>
      <c r="D7" s="17"/>
      <c r="E7" s="17"/>
      <c r="F7" s="18">
        <f>IF(E7="",C4,C4-E7)</f>
        <v>0</v>
      </c>
      <c r="G7" s="17"/>
      <c r="H7" s="17"/>
    </row>
    <row r="8" spans="1:8" ht="18" customHeight="1" x14ac:dyDescent="0.25">
      <c r="A8" s="7"/>
      <c r="B8" s="17"/>
      <c r="C8" s="17"/>
      <c r="D8" s="17"/>
      <c r="E8" s="17"/>
      <c r="F8" s="19">
        <f t="shared" ref="F8:F21" si="0">IF(E8="",F7,F7-E8)</f>
        <v>0</v>
      </c>
      <c r="G8" s="17"/>
      <c r="H8" s="17"/>
    </row>
    <row r="9" spans="1:8" ht="18" customHeight="1" x14ac:dyDescent="0.25">
      <c r="A9" s="2"/>
      <c r="B9" s="17"/>
      <c r="C9" s="17"/>
      <c r="D9" s="17"/>
      <c r="E9" s="17"/>
      <c r="F9" s="18">
        <f t="shared" si="0"/>
        <v>0</v>
      </c>
      <c r="G9" s="17"/>
      <c r="H9" s="17"/>
    </row>
    <row r="10" spans="1:8" ht="18" customHeight="1" x14ac:dyDescent="0.25">
      <c r="A10" s="7"/>
      <c r="B10" s="17"/>
      <c r="C10" s="17"/>
      <c r="D10" s="17"/>
      <c r="E10" s="17"/>
      <c r="F10" s="19">
        <f t="shared" si="0"/>
        <v>0</v>
      </c>
      <c r="G10" s="17"/>
      <c r="H10" s="17"/>
    </row>
    <row r="11" spans="1:8" ht="18" customHeight="1" x14ac:dyDescent="0.25">
      <c r="A11" s="2"/>
      <c r="B11" s="17"/>
      <c r="C11" s="17"/>
      <c r="D11" s="17"/>
      <c r="E11" s="17"/>
      <c r="F11" s="18">
        <f t="shared" si="0"/>
        <v>0</v>
      </c>
      <c r="G11" s="17"/>
      <c r="H11" s="17"/>
    </row>
    <row r="12" spans="1:8" ht="18" customHeight="1" x14ac:dyDescent="0.25">
      <c r="A12" s="7"/>
      <c r="B12" s="17"/>
      <c r="C12" s="17"/>
      <c r="D12" s="17"/>
      <c r="E12" s="17"/>
      <c r="F12" s="19">
        <f t="shared" si="0"/>
        <v>0</v>
      </c>
      <c r="G12" s="17"/>
      <c r="H12" s="17"/>
    </row>
    <row r="13" spans="1:8" ht="18" customHeight="1" x14ac:dyDescent="0.25">
      <c r="A13" s="2"/>
      <c r="B13" s="17"/>
      <c r="C13" s="17"/>
      <c r="D13" s="17"/>
      <c r="E13" s="17"/>
      <c r="F13" s="18">
        <f t="shared" si="0"/>
        <v>0</v>
      </c>
      <c r="G13" s="17"/>
      <c r="H13" s="17"/>
    </row>
    <row r="14" spans="1:8" ht="18" customHeight="1" x14ac:dyDescent="0.25">
      <c r="A14" s="7"/>
      <c r="B14" s="17"/>
      <c r="C14" s="17"/>
      <c r="D14" s="17"/>
      <c r="E14" s="17"/>
      <c r="F14" s="19">
        <f t="shared" si="0"/>
        <v>0</v>
      </c>
      <c r="G14" s="17"/>
      <c r="H14" s="17"/>
    </row>
    <row r="15" spans="1:8" ht="18" customHeight="1" x14ac:dyDescent="0.25">
      <c r="A15" s="2"/>
      <c r="B15" s="17"/>
      <c r="C15" s="17"/>
      <c r="D15" s="17"/>
      <c r="E15" s="17"/>
      <c r="F15" s="18">
        <f t="shared" si="0"/>
        <v>0</v>
      </c>
      <c r="G15" s="17"/>
      <c r="H15" s="17"/>
    </row>
    <row r="16" spans="1:8" ht="18" customHeight="1" x14ac:dyDescent="0.25">
      <c r="A16" s="7"/>
      <c r="B16" s="17"/>
      <c r="C16" s="17"/>
      <c r="D16" s="17"/>
      <c r="E16" s="17"/>
      <c r="F16" s="19">
        <f t="shared" si="0"/>
        <v>0</v>
      </c>
      <c r="G16" s="17"/>
      <c r="H16" s="17"/>
    </row>
    <row r="17" spans="1:8" ht="18" customHeight="1" x14ac:dyDescent="0.25">
      <c r="A17" s="2"/>
      <c r="B17" s="17"/>
      <c r="C17" s="17"/>
      <c r="D17" s="17"/>
      <c r="E17" s="17"/>
      <c r="F17" s="18">
        <f t="shared" si="0"/>
        <v>0</v>
      </c>
      <c r="G17" s="17"/>
      <c r="H17" s="17"/>
    </row>
    <row r="18" spans="1:8" ht="18" customHeight="1" x14ac:dyDescent="0.25">
      <c r="A18" s="7"/>
      <c r="B18" s="17"/>
      <c r="C18" s="17"/>
      <c r="D18" s="17"/>
      <c r="E18" s="17"/>
      <c r="F18" s="19">
        <f t="shared" si="0"/>
        <v>0</v>
      </c>
      <c r="G18" s="17"/>
      <c r="H18" s="17"/>
    </row>
    <row r="19" spans="1:8" ht="18" customHeight="1" x14ac:dyDescent="0.25">
      <c r="A19" s="2"/>
      <c r="B19" s="17"/>
      <c r="C19" s="17"/>
      <c r="D19" s="17"/>
      <c r="E19" s="17"/>
      <c r="F19" s="18">
        <f t="shared" si="0"/>
        <v>0</v>
      </c>
      <c r="G19" s="17"/>
      <c r="H19" s="17"/>
    </row>
    <row r="20" spans="1:8" ht="18" customHeight="1" x14ac:dyDescent="0.25">
      <c r="A20" s="7"/>
      <c r="B20" s="17"/>
      <c r="C20" s="17"/>
      <c r="D20" s="17"/>
      <c r="E20" s="17"/>
      <c r="F20" s="19">
        <f t="shared" si="0"/>
        <v>0</v>
      </c>
      <c r="G20" s="17"/>
      <c r="H20" s="17"/>
    </row>
    <row r="21" spans="1:8" ht="18" customHeight="1" x14ac:dyDescent="0.25">
      <c r="A21" s="2"/>
      <c r="B21" s="17"/>
      <c r="C21" s="17"/>
      <c r="D21" s="17"/>
      <c r="E21" s="17"/>
      <c r="F21" s="18">
        <f t="shared" si="0"/>
        <v>0</v>
      </c>
      <c r="G21" s="17"/>
      <c r="H21" s="17"/>
    </row>
  </sheetData>
  <mergeCells count="4">
    <mergeCell ref="A4:B4"/>
    <mergeCell ref="A2:H2"/>
    <mergeCell ref="D4:E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📋 INSTRUCCIONES</vt:lpstr>
      <vt:lpstr>📅 ODÓMETRO DIARIO</vt:lpstr>
      <vt:lpstr>VEHICULOS_CONFIG</vt:lpstr>
      <vt:lpstr>⛽ COMB. REGISTRO</vt:lpstr>
      <vt:lpstr>KM_2026_01</vt:lpstr>
      <vt:lpstr>KM_2026_02</vt:lpstr>
      <vt:lpstr>KM_2026_03</vt:lpstr>
      <vt:lpstr>KM_2026_04</vt:lpstr>
      <vt:lpstr>KM_2026_05</vt:lpstr>
      <vt:lpstr>KM_2026_06</vt:lpstr>
      <vt:lpstr>KM_2026_07</vt:lpstr>
      <vt:lpstr>KM_2026_08</vt:lpstr>
      <vt:lpstr>KM_2026_09</vt:lpstr>
      <vt:lpstr>KM_2026_10</vt:lpstr>
      <vt:lpstr>KM_2026_11</vt:lpstr>
      <vt:lpstr>KM_2026_12</vt:lpstr>
      <vt:lpstr>COMB_2026_01</vt:lpstr>
      <vt:lpstr>COMB_2026_02</vt:lpstr>
      <vt:lpstr>COMB_2026_03</vt:lpstr>
      <vt:lpstr>COMB_2026_04</vt:lpstr>
      <vt:lpstr>COMB_2026_05</vt:lpstr>
      <vt:lpstr>COMB_2026_06</vt:lpstr>
      <vt:lpstr>COMB_2026_07</vt:lpstr>
      <vt:lpstr>COMB_2026_08</vt:lpstr>
      <vt:lpstr>COMB_2026_09</vt:lpstr>
      <vt:lpstr>COMB_2026_10</vt:lpstr>
      <vt:lpstr>COMB_2026_11</vt:lpstr>
      <vt:lpstr>COMB_2026_12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Yverson Delus</cp:lastModifiedBy>
  <cp:lastPrinted>2026-03-23T00:18:13Z</cp:lastPrinted>
  <dcterms:created xsi:type="dcterms:W3CDTF">2026-03-23T00:09:05Z</dcterms:created>
  <dcterms:modified xsi:type="dcterms:W3CDTF">2026-03-23T00:18:25Z</dcterms:modified>
</cp:coreProperties>
</file>