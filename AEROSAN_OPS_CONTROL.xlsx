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AS" sheetId="1" state="visible" r:id="rId1"/>
    <sheet xmlns:r="http://schemas.openxmlformats.org/officeDocument/2006/relationships" name="COMBUSTIBLE" sheetId="2" state="visible" r:id="rId2"/>
    <sheet xmlns:r="http://schemas.openxmlformats.org/officeDocument/2006/relationships" name="VEHICULOS_CONFIG" sheetId="3" state="visible" r:id="rId3"/>
    <sheet xmlns:r="http://schemas.openxmlformats.org/officeDocument/2006/relationships" name="KM_MES_ACT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E2EAF4"/>
      <sz val="14"/>
    </font>
    <font>
      <name val="Arial"/>
      <i val="1"/>
      <color rgb="006B89A8"/>
      <sz val="10"/>
    </font>
    <font>
      <name val="Arial"/>
      <b val="1"/>
      <color rgb="00E2EAF4"/>
      <sz val="11"/>
    </font>
    <font>
      <name val="Arial"/>
      <b val="1"/>
      <color rgb="00F0A500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E2EAF4"/>
      <sz val="12"/>
    </font>
    <font>
      <name val="Arial"/>
      <b val="1"/>
      <sz val="10"/>
    </font>
    <font>
      <name val="Arial"/>
      <b val="1"/>
      <color rgb="00F0A500"/>
      <sz val="11"/>
    </font>
    <font>
      <name val="Arial"/>
      <b val="1"/>
      <color rgb="000000FF"/>
      <sz val="12"/>
    </font>
    <font>
      <name val="Arial"/>
      <b val="1"/>
      <sz val="11"/>
    </font>
    <font>
      <name val="Arial"/>
      <b val="1"/>
      <color rgb="00000000"/>
      <sz val="11"/>
    </font>
    <font>
      <name val="Arial"/>
      <b val="1"/>
      <color rgb="00E2EAF4"/>
      <sz val="13"/>
    </font>
    <font>
      <name val="Arial"/>
      <b val="1"/>
      <color rgb="000000FF"/>
      <sz val="10"/>
    </font>
    <font>
      <name val="Arial"/>
      <b val="1"/>
      <color rgb="0000B8D9"/>
      <sz val="13"/>
    </font>
    <font>
      <name val="Arial"/>
      <i val="1"/>
      <color rgb="007A90B0"/>
      <sz val="10"/>
    </font>
    <font>
      <name val="Arial"/>
      <b val="1"/>
      <color rgb="00FFFFFF"/>
      <sz val="11"/>
    </font>
    <font>
      <name val="Arial"/>
      <color rgb="00E2EAF5"/>
      <sz val="11"/>
    </font>
    <font>
      <name val="Arial"/>
      <b val="1"/>
      <color rgb="0000E676"/>
      <sz val="11"/>
    </font>
    <font>
      <name val="Arial"/>
      <b val="1"/>
      <color rgb="00FFA726"/>
      <sz val="11"/>
    </font>
    <font>
      <name val="Arial"/>
      <b val="1"/>
      <color rgb="00F44336"/>
      <sz val="11"/>
    </font>
  </fonts>
  <fills count="12">
    <fill>
      <patternFill/>
    </fill>
    <fill>
      <patternFill patternType="gray125"/>
    </fill>
    <fill>
      <patternFill patternType="solid">
        <fgColor rgb="00080F1E"/>
      </patternFill>
    </fill>
    <fill>
      <patternFill patternType="solid">
        <fgColor rgb="000D1B2E"/>
      </patternFill>
    </fill>
    <fill>
      <patternFill patternType="solid">
        <fgColor rgb="001A6FC4"/>
      </patternFill>
    </fill>
    <fill>
      <patternFill patternType="solid">
        <fgColor rgb="000F2540"/>
      </patternFill>
    </fill>
    <fill>
      <patternFill patternType="solid">
        <fgColor rgb="0010B981"/>
      </patternFill>
    </fill>
    <fill>
      <patternFill patternType="solid">
        <fgColor rgb="00F0A500"/>
      </patternFill>
    </fill>
    <fill>
      <patternFill patternType="solid">
        <fgColor rgb="000B0F1A"/>
      </patternFill>
    </fill>
    <fill>
      <patternFill patternType="solid">
        <fgColor rgb="00101626"/>
      </patternFill>
    </fill>
    <fill>
      <patternFill patternType="solid">
        <fgColor rgb="001A2235"/>
      </patternFill>
    </fill>
    <fill>
      <patternFill patternType="solid">
        <fgColor rgb="00131929"/>
      </patternFill>
    </fill>
  </fills>
  <borders count="6">
    <border>
      <left/>
      <right/>
      <top/>
      <bottom/>
      <diagonal/>
    </border>
    <border>
      <left style="thin">
        <color rgb="001E3558"/>
      </left>
      <right style="thin">
        <color rgb="001E3558"/>
      </right>
      <top style="thin">
        <color rgb="001E3558"/>
      </top>
      <bottom style="thin">
        <color rgb="001E3558"/>
      </bottom>
    </border>
    <border>
      <left/>
      <right/>
      <top style="thin">
        <color rgb="001E3558"/>
      </top>
      <bottom/>
      <diagonal/>
    </border>
    <border>
      <left/>
      <right style="thin">
        <color rgb="001E3558"/>
      </right>
      <top style="thin">
        <color rgb="001E3558"/>
      </top>
      <bottom/>
      <diagonal/>
    </border>
    <border>
      <left/>
      <right style="thin">
        <color rgb="001E3558"/>
      </right>
      <top style="thin">
        <color rgb="001E3558"/>
      </top>
      <bottom style="thin">
        <color rgb="001E3558"/>
      </bottom>
      <diagonal/>
    </border>
    <border>
      <left style="thin">
        <color rgb="001E2D45"/>
      </left>
      <right style="thin">
        <color rgb="001E2D45"/>
      </right>
      <top style="thin">
        <color rgb="001E2D45"/>
      </top>
      <bottom style="thin">
        <color rgb="001E2D45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3" fontId="6" fillId="5" borderId="1" applyAlignment="1" pivotButton="0" quotePrefix="0" xfId="0">
      <alignment horizontal="center"/>
    </xf>
    <xf numFmtId="0" fontId="0" fillId="5" borderId="1" pivotButton="0" quotePrefix="0" xfId="0"/>
    <xf numFmtId="164" fontId="5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0" fillId="0" borderId="1" pivotButton="0" quotePrefix="0" xfId="0"/>
    <xf numFmtId="0" fontId="7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0" fillId="0" borderId="1" pivotButton="0" quotePrefix="0" xfId="0"/>
    <xf numFmtId="3" fontId="8" fillId="0" borderId="1" pivotButton="0" quotePrefix="0" xfId="0"/>
    <xf numFmtId="3" fontId="4" fillId="0" borderId="1" applyAlignment="1" pivotButton="0" quotePrefix="0" xfId="0">
      <alignment horizontal="center"/>
    </xf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3" fontId="0" fillId="5" borderId="1" pivotButton="0" quotePrefix="0" xfId="0"/>
    <xf numFmtId="3" fontId="8" fillId="5" borderId="1" pivotButton="0" quotePrefix="0" xfId="0"/>
    <xf numFmtId="3" fontId="4" fillId="5" borderId="1" applyAlignment="1" pivotButton="0" quotePrefix="0" xfId="0">
      <alignment horizontal="center"/>
    </xf>
    <xf numFmtId="165" fontId="0" fillId="5" borderId="1" pivotButton="0" quotePrefix="0" xfId="0"/>
    <xf numFmtId="0" fontId="0" fillId="5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9" fillId="3" borderId="0" pivotButton="0" quotePrefix="0" xfId="0"/>
    <xf numFmtId="3" fontId="10" fillId="0" borderId="1" applyAlignment="1" pivotButton="0" quotePrefix="0" xfId="0">
      <alignment horizontal="center"/>
    </xf>
    <xf numFmtId="0" fontId="3" fillId="4" borderId="0" pivotButton="0" quotePrefix="0" xfId="0"/>
    <xf numFmtId="3" fontId="1" fillId="6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 wrapText="1"/>
    </xf>
    <xf numFmtId="164" fontId="5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164" fontId="5" fillId="5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13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4" fillId="0" borderId="1" pivotButton="0" quotePrefix="0" xfId="0"/>
    <xf numFmtId="0" fontId="4" fillId="0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0" fillId="0" borderId="1" pivotButton="0" quotePrefix="0" xfId="0"/>
    <xf numFmtId="165" fontId="0" fillId="5" borderId="1" pivotButton="0" quotePrefix="0" xfId="0"/>
    <xf numFmtId="0" fontId="0" fillId="0" borderId="4" pivotButton="0" quotePrefix="0" xfId="0"/>
    <xf numFmtId="164" fontId="5" fillId="0" borderId="1" pivotButton="0" quotePrefix="0" xfId="0"/>
    <xf numFmtId="164" fontId="5" fillId="5" borderId="1" pivotButton="0" quotePrefix="0" xfId="0"/>
    <xf numFmtId="0" fontId="15" fillId="8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/>
    </xf>
    <xf numFmtId="0" fontId="17" fillId="10" borderId="5" applyAlignment="1" pivotButton="0" quotePrefix="0" xfId="0">
      <alignment horizontal="center" vertical="center"/>
    </xf>
    <xf numFmtId="0" fontId="18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center" vertical="center"/>
    </xf>
    <xf numFmtId="0" fontId="21" fillId="11" borderId="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6FC4"/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8" customWidth="1" min="14" max="14"/>
    <col width="12" customWidth="1" min="15" max="15"/>
    <col width="25" customWidth="1" min="16" max="16"/>
  </cols>
  <sheetData>
    <row r="1" ht="30" customHeight="1">
      <c r="A1" s="1" t="inlineStr">
        <is>
          <t>AEROSAN — CONTROL DE GRÚAS EN LEASING</t>
        </is>
      </c>
    </row>
    <row r="2" ht="20" customHeight="1">
      <c r="A2" s="2" t="inlineStr">
        <is>
          <t>Ingrese la lectura del odómetro diariamente. El sistema calcula KM recorridos automáticamente. LÍMITE: 160 KM/mes por grúa.</t>
        </is>
      </c>
    </row>
    <row r="3" ht="8" customHeight="1"/>
    <row r="4" ht="35" customHeight="1">
      <c r="A4" s="3" t="inlineStr">
        <is>
          <t>FECHA</t>
        </is>
      </c>
      <c r="B4" s="3" t="inlineStr">
        <is>
          <t>GRÚA 1
Patente: AB-1234</t>
        </is>
      </c>
      <c r="C4" s="3" t="inlineStr">
        <is>
          <t>GRÚA 2
Patente: CD-5678</t>
        </is>
      </c>
      <c r="D4" s="3" t="inlineStr">
        <is>
          <t>GRÚA 3
Patente: EF-9012</t>
        </is>
      </c>
      <c r="E4" s="3" t="inlineStr">
        <is>
          <t>GRÚA 4
Patente: GH-3456</t>
        </is>
      </c>
      <c r="F4" s="3" t="inlineStr">
        <is>
          <t>GRÚA 5
Patente: IJ-7890</t>
        </is>
      </c>
      <c r="G4" s="3" t="inlineStr">
        <is>
          <t>GRÚA 6
Patente: KL-1234</t>
        </is>
      </c>
      <c r="H4" s="3" t="inlineStr">
        <is>
          <t>GRÚA 7
Patente: MN-5678</t>
        </is>
      </c>
      <c r="I4" s="3" t="inlineStr">
        <is>
          <t>GRÚA 8
Patente: OP-9012</t>
        </is>
      </c>
      <c r="J4" s="3" t="inlineStr">
        <is>
          <t>GRÚA 9
Patente: QR-3456</t>
        </is>
      </c>
      <c r="K4" s="3" t="inlineStr">
        <is>
          <t>GRÚA 10
Patente: ST-7890</t>
        </is>
      </c>
      <c r="L4" s="3" t="inlineStr">
        <is>
          <t>GRÚA 11
Patente: UV-1234</t>
        </is>
      </c>
      <c r="M4" s="3" t="inlineStr">
        <is>
          <t>GRÚA 12
Patente: WX-5678</t>
        </is>
      </c>
      <c r="N4" s="3" t="inlineStr">
        <is>
          <t>SUPERVISOR</t>
        </is>
      </c>
      <c r="O4" s="3" t="inlineStr">
        <is>
          <t>TURNO</t>
        </is>
      </c>
      <c r="P4" s="3" t="inlineStr">
        <is>
          <t>OBSERVACIONES</t>
        </is>
      </c>
    </row>
    <row r="5">
      <c r="A5" s="4" t="inlineStr">
        <is>
          <t>▼ INGRESE LA LECTURA DEL ODÓMETRO (KM totales que marca la grúa ese día)</t>
        </is>
      </c>
    </row>
    <row r="6">
      <c r="A6" s="45" t="n">
        <v>45658</v>
      </c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7" t="n"/>
      <c r="O6" s="7" t="n"/>
      <c r="P6" s="7" t="n"/>
    </row>
    <row r="7">
      <c r="A7" s="46" t="n">
        <v>45659</v>
      </c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10" t="n"/>
      <c r="O7" s="10" t="n"/>
      <c r="P7" s="10" t="n"/>
    </row>
    <row r="8">
      <c r="A8" s="45" t="n">
        <v>45660</v>
      </c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7" t="n"/>
      <c r="O8" s="7" t="n"/>
      <c r="P8" s="7" t="n"/>
    </row>
    <row r="9">
      <c r="A9" s="46" t="n">
        <v>45661</v>
      </c>
      <c r="B9" s="9" t="inlineStr"/>
      <c r="C9" s="9" t="inlineStr"/>
      <c r="D9" s="9" t="inlineStr"/>
      <c r="E9" s="9" t="inlineStr"/>
      <c r="F9" s="9" t="inlineStr"/>
      <c r="G9" s="9" t="inlineStr"/>
      <c r="H9" s="9" t="inlineStr"/>
      <c r="I9" s="9" t="inlineStr"/>
      <c r="J9" s="9" t="inlineStr"/>
      <c r="K9" s="9" t="inlineStr"/>
      <c r="L9" s="9" t="inlineStr"/>
      <c r="M9" s="9" t="inlineStr"/>
      <c r="N9" s="10" t="n"/>
      <c r="O9" s="10" t="n"/>
      <c r="P9" s="10" t="n"/>
    </row>
    <row r="10">
      <c r="A10" s="45" t="n">
        <v>45662</v>
      </c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7" t="n"/>
      <c r="O10" s="7" t="n"/>
      <c r="P10" s="7" t="n"/>
    </row>
    <row r="11">
      <c r="A11" s="46" t="n">
        <v>45663</v>
      </c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  <c r="M11" s="9" t="inlineStr"/>
      <c r="N11" s="10" t="n"/>
      <c r="O11" s="10" t="n"/>
      <c r="P11" s="10" t="n"/>
    </row>
    <row r="12">
      <c r="A12" s="45" t="n">
        <v>45664</v>
      </c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7" t="n"/>
      <c r="O12" s="7" t="n"/>
      <c r="P12" s="7" t="n"/>
    </row>
    <row r="13">
      <c r="A13" s="46" t="n">
        <v>45665</v>
      </c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  <c r="K13" s="9" t="inlineStr"/>
      <c r="L13" s="9" t="inlineStr"/>
      <c r="M13" s="9" t="inlineStr"/>
      <c r="N13" s="10" t="n"/>
      <c r="O13" s="10" t="n"/>
      <c r="P13" s="10" t="n"/>
    </row>
    <row r="14">
      <c r="A14" s="45" t="n">
        <v>45666</v>
      </c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7" t="n"/>
      <c r="O14" s="7" t="n"/>
      <c r="P14" s="7" t="n"/>
    </row>
    <row r="15">
      <c r="A15" s="46" t="n">
        <v>45667</v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/>
      <c r="M15" s="9" t="inlineStr"/>
      <c r="N15" s="10" t="n"/>
      <c r="O15" s="10" t="n"/>
      <c r="P15" s="10" t="n"/>
    </row>
    <row r="16">
      <c r="A16" s="45" t="n">
        <v>45668</v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  <c r="N16" s="7" t="n"/>
      <c r="O16" s="7" t="n"/>
      <c r="P16" s="7" t="n"/>
    </row>
    <row r="17">
      <c r="A17" s="46" t="n">
        <v>45669</v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10" t="n"/>
      <c r="O17" s="10" t="n"/>
      <c r="P17" s="10" t="n"/>
    </row>
    <row r="18">
      <c r="A18" s="45" t="n">
        <v>45670</v>
      </c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7" t="n"/>
      <c r="O18" s="7" t="n"/>
      <c r="P18" s="7" t="n"/>
    </row>
    <row r="19">
      <c r="A19" s="46" t="n">
        <v>45671</v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10" t="n"/>
      <c r="O19" s="10" t="n"/>
      <c r="P19" s="10" t="n"/>
    </row>
    <row r="20">
      <c r="A20" s="45" t="n">
        <v>45672</v>
      </c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7" t="n"/>
      <c r="O20" s="7" t="n"/>
      <c r="P20" s="7" t="n"/>
    </row>
    <row r="21">
      <c r="A21" s="46" t="n">
        <v>45673</v>
      </c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10" t="n"/>
      <c r="O21" s="10" t="n"/>
      <c r="P21" s="10" t="n"/>
    </row>
    <row r="22">
      <c r="A22" s="45" t="n">
        <v>45674</v>
      </c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7" t="n"/>
      <c r="O22" s="7" t="n"/>
      <c r="P22" s="7" t="n"/>
    </row>
    <row r="23">
      <c r="A23" s="46" t="n">
        <v>45675</v>
      </c>
      <c r="B23" s="9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  <c r="K23" s="9" t="inlineStr"/>
      <c r="L23" s="9" t="inlineStr"/>
      <c r="M23" s="9" t="inlineStr"/>
      <c r="N23" s="10" t="n"/>
      <c r="O23" s="10" t="n"/>
      <c r="P23" s="10" t="n"/>
    </row>
    <row r="24">
      <c r="A24" s="45" t="n">
        <v>45676</v>
      </c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7" t="n"/>
      <c r="O24" s="7" t="n"/>
      <c r="P24" s="7" t="n"/>
    </row>
    <row r="25">
      <c r="A25" s="46" t="n">
        <v>45677</v>
      </c>
      <c r="B25" s="9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  <c r="K25" s="9" t="inlineStr"/>
      <c r="L25" s="9" t="inlineStr"/>
      <c r="M25" s="9" t="inlineStr"/>
      <c r="N25" s="10" t="n"/>
      <c r="O25" s="10" t="n"/>
      <c r="P25" s="10" t="n"/>
    </row>
    <row r="26">
      <c r="A26" s="45" t="n">
        <v>45678</v>
      </c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7" t="n"/>
      <c r="O26" s="7" t="n"/>
      <c r="P26" s="7" t="n"/>
    </row>
    <row r="27">
      <c r="A27" s="46" t="n">
        <v>45679</v>
      </c>
      <c r="B27" s="9" t="inlineStr"/>
      <c r="C27" s="9" t="inlineStr"/>
      <c r="D27" s="9" t="inlineStr"/>
      <c r="E27" s="9" t="inlineStr"/>
      <c r="F27" s="9" t="inlineStr"/>
      <c r="G27" s="9" t="inlineStr"/>
      <c r="H27" s="9" t="inlineStr"/>
      <c r="I27" s="9" t="inlineStr"/>
      <c r="J27" s="9" t="inlineStr"/>
      <c r="K27" s="9" t="inlineStr"/>
      <c r="L27" s="9" t="inlineStr"/>
      <c r="M27" s="9" t="inlineStr"/>
      <c r="N27" s="10" t="n"/>
      <c r="O27" s="10" t="n"/>
      <c r="P27" s="10" t="n"/>
    </row>
    <row r="28">
      <c r="A28" s="45" t="n">
        <v>45680</v>
      </c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7" t="n"/>
      <c r="O28" s="7" t="n"/>
      <c r="P28" s="7" t="n"/>
    </row>
    <row r="29">
      <c r="A29" s="46" t="n">
        <v>45681</v>
      </c>
      <c r="B29" s="9" t="inlineStr"/>
      <c r="C29" s="9" t="inlineStr"/>
      <c r="D29" s="9" t="inlineStr"/>
      <c r="E29" s="9" t="inlineStr"/>
      <c r="F29" s="9" t="inlineStr"/>
      <c r="G29" s="9" t="inlineStr"/>
      <c r="H29" s="9" t="inlineStr"/>
      <c r="I29" s="9" t="inlineStr"/>
      <c r="J29" s="9" t="inlineStr"/>
      <c r="K29" s="9" t="inlineStr"/>
      <c r="L29" s="9" t="inlineStr"/>
      <c r="M29" s="9" t="inlineStr"/>
      <c r="N29" s="10" t="n"/>
      <c r="O29" s="10" t="n"/>
      <c r="P29" s="10" t="n"/>
    </row>
    <row r="30">
      <c r="A30" s="45" t="n">
        <v>45682</v>
      </c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7" t="n"/>
      <c r="O30" s="7" t="n"/>
      <c r="P30" s="7" t="n"/>
    </row>
    <row r="31">
      <c r="A31" s="46" t="n">
        <v>45683</v>
      </c>
      <c r="B31" s="9" t="inlineStr"/>
      <c r="C31" s="9" t="inlineStr"/>
      <c r="D31" s="9" t="inlineStr"/>
      <c r="E31" s="9" t="inlineStr"/>
      <c r="F31" s="9" t="inlineStr"/>
      <c r="G31" s="9" t="inlineStr"/>
      <c r="H31" s="9" t="inlineStr"/>
      <c r="I31" s="9" t="inlineStr"/>
      <c r="J31" s="9" t="inlineStr"/>
      <c r="K31" s="9" t="inlineStr"/>
      <c r="L31" s="9" t="inlineStr"/>
      <c r="M31" s="9" t="inlineStr"/>
      <c r="N31" s="10" t="n"/>
      <c r="O31" s="10" t="n"/>
      <c r="P31" s="10" t="n"/>
    </row>
    <row r="32">
      <c r="A32" s="45" t="n">
        <v>45684</v>
      </c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7" t="n"/>
      <c r="O32" s="7" t="n"/>
      <c r="P32" s="7" t="n"/>
    </row>
    <row r="33">
      <c r="A33" s="46" t="n">
        <v>45685</v>
      </c>
      <c r="B33" s="9" t="inlineStr"/>
      <c r="C33" s="9" t="inlineStr"/>
      <c r="D33" s="9" t="inlineStr"/>
      <c r="E33" s="9" t="inlineStr"/>
      <c r="F33" s="9" t="inlineStr"/>
      <c r="G33" s="9" t="inlineStr"/>
      <c r="H33" s="9" t="inlineStr"/>
      <c r="I33" s="9" t="inlineStr"/>
      <c r="J33" s="9" t="inlineStr"/>
      <c r="K33" s="9" t="inlineStr"/>
      <c r="L33" s="9" t="inlineStr"/>
      <c r="M33" s="9" t="inlineStr"/>
      <c r="N33" s="10" t="n"/>
      <c r="O33" s="10" t="n"/>
      <c r="P33" s="10" t="n"/>
    </row>
    <row r="34">
      <c r="A34" s="45" t="n">
        <v>45686</v>
      </c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7" t="n"/>
      <c r="O34" s="7" t="n"/>
      <c r="P34" s="7" t="n"/>
    </row>
    <row r="35">
      <c r="A35" s="46" t="n">
        <v>45687</v>
      </c>
      <c r="B35" s="9" t="inlineStr"/>
      <c r="C35" s="9" t="inlineStr"/>
      <c r="D35" s="9" t="inlineStr"/>
      <c r="E35" s="9" t="inlineStr"/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10" t="n"/>
      <c r="O35" s="10" t="n"/>
      <c r="P35" s="10" t="n"/>
    </row>
    <row r="36">
      <c r="A36" s="45" t="n">
        <v>45688</v>
      </c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7" t="n"/>
      <c r="O36" s="7" t="n"/>
      <c r="P36" s="7" t="n"/>
    </row>
    <row r="38" ht="8" customHeight="1"/>
    <row r="39" ht="25" customHeight="1">
      <c r="A39" s="11" t="inlineStr">
        <is>
          <t>RESUMEN MENSUAL — KM RECORRIDOS POR GRÚA</t>
        </is>
      </c>
    </row>
    <row r="40" ht="25" customHeight="1">
      <c r="A40" s="12" t="inlineStr">
        <is>
          <t>GRÚA</t>
        </is>
      </c>
      <c r="B40" s="12" t="inlineStr">
        <is>
          <t>PATENTE</t>
        </is>
      </c>
      <c r="C40" s="12" t="inlineStr">
        <is>
          <t>KM INICIO MES</t>
        </is>
      </c>
      <c r="D40" s="12" t="inlineStr">
        <is>
          <t>KM ÚLTIMO REGISTRO</t>
        </is>
      </c>
      <c r="E40" s="12" t="inlineStr">
        <is>
          <t>KM RECORRIDOS</t>
        </is>
      </c>
      <c r="F40" s="12" t="inlineStr">
        <is>
          <t>LÍMITE (KM)</t>
        </is>
      </c>
      <c r="G40" s="12" t="inlineStr">
        <is>
          <t>KM DISPONIBLES</t>
        </is>
      </c>
      <c r="H40" s="12" t="inlineStr">
        <is>
          <t>% USADO</t>
        </is>
      </c>
      <c r="I40" s="12" t="inlineStr">
        <is>
          <t>ESTADO</t>
        </is>
      </c>
    </row>
    <row r="41">
      <c r="A41" s="13" t="inlineStr">
        <is>
          <t>GRÚA 1</t>
        </is>
      </c>
      <c r="B41" s="14" t="inlineStr">
        <is>
          <t>XXX-XXX</t>
        </is>
      </c>
      <c r="C41" s="15">
        <f>IFERROR(INDEX(B6:B36,MATCH(TRUE,B6:B36&lt;&gt;"",0)),0)</f>
        <v/>
      </c>
      <c r="D41" s="15">
        <f>IFERROR(LOOKUP(2,1/(B6:B36&lt;&gt;""),B6:B36),0)</f>
        <v/>
      </c>
      <c r="E41" s="16">
        <f>IF(D41-C41&gt;0,D41-C41,0)</f>
        <v/>
      </c>
      <c r="F41" s="17" t="n">
        <v>160</v>
      </c>
      <c r="G41" s="15">
        <f>F41-E41</f>
        <v/>
      </c>
      <c r="H41" s="47">
        <f>IFERROR(E41/F41,0)</f>
        <v/>
      </c>
      <c r="I41" s="19">
        <f>IF(E41&gt;=F41,"🔴 LÍMITE SUPERADO",IF(E41&gt;=F41*0.85,"🟡 ALERTA",IF(E41&gt;=F41*0.6,"🟠 PRECAUCIÓN","🟢 OK")))</f>
        <v/>
      </c>
    </row>
    <row r="42">
      <c r="A42" s="20" t="inlineStr">
        <is>
          <t>GRÚA 2</t>
        </is>
      </c>
      <c r="B42" s="21" t="inlineStr">
        <is>
          <t>XXX-XXX</t>
        </is>
      </c>
      <c r="C42" s="22">
        <f>IFERROR(INDEX(C6:C36,MATCH(TRUE,C6:C36&lt;&gt;"",0)),0)</f>
        <v/>
      </c>
      <c r="D42" s="22">
        <f>IFERROR(LOOKUP(2,1/(C6:C36&lt;&gt;""),C6:C36),0)</f>
        <v/>
      </c>
      <c r="E42" s="23">
        <f>IF(D42-C42&gt;0,D42-C42,0)</f>
        <v/>
      </c>
      <c r="F42" s="24" t="n">
        <v>160</v>
      </c>
      <c r="G42" s="22">
        <f>F42-E42</f>
        <v/>
      </c>
      <c r="H42" s="48">
        <f>IFERROR(E42/F42,0)</f>
        <v/>
      </c>
      <c r="I42" s="26">
        <f>IF(E42&gt;=F42,"🔴 LÍMITE SUPERADO",IF(E42&gt;=F42*0.85,"🟡 ALERTA",IF(E42&gt;=F42*0.6,"🟠 PRECAUCIÓN","🟢 OK")))</f>
        <v/>
      </c>
    </row>
    <row r="43">
      <c r="A43" s="13" t="inlineStr">
        <is>
          <t>GRÚA 3</t>
        </is>
      </c>
      <c r="B43" s="14" t="inlineStr">
        <is>
          <t>XXX-XXX</t>
        </is>
      </c>
      <c r="C43" s="15">
        <f>IFERROR(INDEX(D6:D36,MATCH(TRUE,D6:D36&lt;&gt;"",0)),0)</f>
        <v/>
      </c>
      <c r="D43" s="15">
        <f>IFERROR(LOOKUP(2,1/(D6:D36&lt;&gt;""),D6:D36),0)</f>
        <v/>
      </c>
      <c r="E43" s="16">
        <f>IF(D43-C43&gt;0,D43-C43,0)</f>
        <v/>
      </c>
      <c r="F43" s="17" t="n">
        <v>160</v>
      </c>
      <c r="G43" s="15">
        <f>F43-E43</f>
        <v/>
      </c>
      <c r="H43" s="47">
        <f>IFERROR(E43/F43,0)</f>
        <v/>
      </c>
      <c r="I43" s="19">
        <f>IF(E43&gt;=F43,"🔴 LÍMITE SUPERADO",IF(E43&gt;=F43*0.85,"🟡 ALERTA",IF(E43&gt;=F43*0.6,"🟠 PRECAUCIÓN","🟢 OK")))</f>
        <v/>
      </c>
    </row>
    <row r="44">
      <c r="A44" s="20" t="inlineStr">
        <is>
          <t>GRÚA 4</t>
        </is>
      </c>
      <c r="B44" s="21" t="inlineStr">
        <is>
          <t>XXX-XXX</t>
        </is>
      </c>
      <c r="C44" s="22">
        <f>IFERROR(INDEX(E6:E36,MATCH(TRUE,E6:E36&lt;&gt;"",0)),0)</f>
        <v/>
      </c>
      <c r="D44" s="22">
        <f>IFERROR(LOOKUP(2,1/(E6:E36&lt;&gt;""),E6:E36),0)</f>
        <v/>
      </c>
      <c r="E44" s="23">
        <f>IF(D44-C44&gt;0,D44-C44,0)</f>
        <v/>
      </c>
      <c r="F44" s="24" t="n">
        <v>160</v>
      </c>
      <c r="G44" s="22">
        <f>F44-E44</f>
        <v/>
      </c>
      <c r="H44" s="48">
        <f>IFERROR(E44/F44,0)</f>
        <v/>
      </c>
      <c r="I44" s="26">
        <f>IF(E44&gt;=F44,"🔴 LÍMITE SUPERADO",IF(E44&gt;=F44*0.85,"🟡 ALERTA",IF(E44&gt;=F44*0.6,"🟠 PRECAUCIÓN","🟢 OK")))</f>
        <v/>
      </c>
    </row>
    <row r="45">
      <c r="A45" s="13" t="inlineStr">
        <is>
          <t>GRÚA 5</t>
        </is>
      </c>
      <c r="B45" s="14" t="inlineStr">
        <is>
          <t>XXX-XXX</t>
        </is>
      </c>
      <c r="C45" s="15">
        <f>IFERROR(INDEX(F6:F36,MATCH(TRUE,F6:F36&lt;&gt;"",0)),0)</f>
        <v/>
      </c>
      <c r="D45" s="15">
        <f>IFERROR(LOOKUP(2,1/(F6:F36&lt;&gt;""),F6:F36),0)</f>
        <v/>
      </c>
      <c r="E45" s="16">
        <f>IF(D45-C45&gt;0,D45-C45,0)</f>
        <v/>
      </c>
      <c r="F45" s="17" t="n">
        <v>160</v>
      </c>
      <c r="G45" s="15">
        <f>F45-E45</f>
        <v/>
      </c>
      <c r="H45" s="47">
        <f>IFERROR(E45/F45,0)</f>
        <v/>
      </c>
      <c r="I45" s="19">
        <f>IF(E45&gt;=F45,"🔴 LÍMITE SUPERADO",IF(E45&gt;=F45*0.85,"🟡 ALERTA",IF(E45&gt;=F45*0.6,"🟠 PRECAUCIÓN","🟢 OK")))</f>
        <v/>
      </c>
    </row>
    <row r="46">
      <c r="A46" s="20" t="inlineStr">
        <is>
          <t>GRÚA 6</t>
        </is>
      </c>
      <c r="B46" s="21" t="inlineStr">
        <is>
          <t>XXX-XXX</t>
        </is>
      </c>
      <c r="C46" s="22">
        <f>IFERROR(INDEX(G6:G36,MATCH(TRUE,G6:G36&lt;&gt;"",0)),0)</f>
        <v/>
      </c>
      <c r="D46" s="22">
        <f>IFERROR(LOOKUP(2,1/(G6:G36&lt;&gt;""),G6:G36),0)</f>
        <v/>
      </c>
      <c r="E46" s="23">
        <f>IF(D46-C46&gt;0,D46-C46,0)</f>
        <v/>
      </c>
      <c r="F46" s="24" t="n">
        <v>160</v>
      </c>
      <c r="G46" s="22">
        <f>F46-E46</f>
        <v/>
      </c>
      <c r="H46" s="48">
        <f>IFERROR(E46/F46,0)</f>
        <v/>
      </c>
      <c r="I46" s="26">
        <f>IF(E46&gt;=F46,"🔴 LÍMITE SUPERADO",IF(E46&gt;=F46*0.85,"🟡 ALERTA",IF(E46&gt;=F46*0.6,"🟠 PRECAUCIÓN","🟢 OK")))</f>
        <v/>
      </c>
    </row>
    <row r="47">
      <c r="A47" s="13" t="inlineStr">
        <is>
          <t>GRÚA 7</t>
        </is>
      </c>
      <c r="B47" s="14" t="inlineStr">
        <is>
          <t>XXX-XXX</t>
        </is>
      </c>
      <c r="C47" s="15">
        <f>IFERROR(INDEX(H6:H36,MATCH(TRUE,H6:H36&lt;&gt;"",0)),0)</f>
        <v/>
      </c>
      <c r="D47" s="15">
        <f>IFERROR(LOOKUP(2,1/(H6:H36&lt;&gt;""),H6:H36),0)</f>
        <v/>
      </c>
      <c r="E47" s="16">
        <f>IF(D47-C47&gt;0,D47-C47,0)</f>
        <v/>
      </c>
      <c r="F47" s="17" t="n">
        <v>160</v>
      </c>
      <c r="G47" s="15">
        <f>F47-E47</f>
        <v/>
      </c>
      <c r="H47" s="47">
        <f>IFERROR(E47/F47,0)</f>
        <v/>
      </c>
      <c r="I47" s="19">
        <f>IF(E47&gt;=F47,"🔴 LÍMITE SUPERADO",IF(E47&gt;=F47*0.85,"🟡 ALERTA",IF(E47&gt;=F47*0.6,"🟠 PRECAUCIÓN","🟢 OK")))</f>
        <v/>
      </c>
    </row>
    <row r="48">
      <c r="A48" s="20" t="inlineStr">
        <is>
          <t>GRÚA 8</t>
        </is>
      </c>
      <c r="B48" s="21" t="inlineStr">
        <is>
          <t>XXX-XXX</t>
        </is>
      </c>
      <c r="C48" s="22">
        <f>IFERROR(INDEX(I6:I36,MATCH(TRUE,I6:I36&lt;&gt;"",0)),0)</f>
        <v/>
      </c>
      <c r="D48" s="22">
        <f>IFERROR(LOOKUP(2,1/(I6:I36&lt;&gt;""),I6:I36),0)</f>
        <v/>
      </c>
      <c r="E48" s="23">
        <f>IF(D48-C48&gt;0,D48-C48,0)</f>
        <v/>
      </c>
      <c r="F48" s="24" t="n">
        <v>160</v>
      </c>
      <c r="G48" s="22">
        <f>F48-E48</f>
        <v/>
      </c>
      <c r="H48" s="48">
        <f>IFERROR(E48/F48,0)</f>
        <v/>
      </c>
      <c r="I48" s="26">
        <f>IF(E48&gt;=F48,"🔴 LÍMITE SUPERADO",IF(E48&gt;=F48*0.85,"🟡 ALERTA",IF(E48&gt;=F48*0.6,"🟠 PRECAUCIÓN","🟢 OK")))</f>
        <v/>
      </c>
    </row>
    <row r="49">
      <c r="A49" s="13" t="inlineStr">
        <is>
          <t>GRÚA 9</t>
        </is>
      </c>
      <c r="B49" s="14" t="inlineStr">
        <is>
          <t>XXX-XXX</t>
        </is>
      </c>
      <c r="C49" s="15">
        <f>IFERROR(INDEX(J6:J36,MATCH(TRUE,J6:J36&lt;&gt;"",0)),0)</f>
        <v/>
      </c>
      <c r="D49" s="15">
        <f>IFERROR(LOOKUP(2,1/(J6:J36&lt;&gt;""),J6:J36),0)</f>
        <v/>
      </c>
      <c r="E49" s="16">
        <f>IF(D49-C49&gt;0,D49-C49,0)</f>
        <v/>
      </c>
      <c r="F49" s="17" t="n">
        <v>160</v>
      </c>
      <c r="G49" s="15">
        <f>F49-E49</f>
        <v/>
      </c>
      <c r="H49" s="47">
        <f>IFERROR(E49/F49,0)</f>
        <v/>
      </c>
      <c r="I49" s="19">
        <f>IF(E49&gt;=F49,"🔴 LÍMITE SUPERADO",IF(E49&gt;=F49*0.85,"🟡 ALERTA",IF(E49&gt;=F49*0.6,"🟠 PRECAUCIÓN","🟢 OK")))</f>
        <v/>
      </c>
    </row>
    <row r="50">
      <c r="A50" s="20" t="inlineStr">
        <is>
          <t>GRÚA 10</t>
        </is>
      </c>
      <c r="B50" s="21" t="inlineStr">
        <is>
          <t>XXX-XXX</t>
        </is>
      </c>
      <c r="C50" s="22">
        <f>IFERROR(INDEX(K6:K36,MATCH(TRUE,K6:K36&lt;&gt;"",0)),0)</f>
        <v/>
      </c>
      <c r="D50" s="22">
        <f>IFERROR(LOOKUP(2,1/(K6:K36&lt;&gt;""),K6:K36),0)</f>
        <v/>
      </c>
      <c r="E50" s="23">
        <f>IF(D50-C50&gt;0,D50-C50,0)</f>
        <v/>
      </c>
      <c r="F50" s="24" t="n">
        <v>160</v>
      </c>
      <c r="G50" s="22">
        <f>F50-E50</f>
        <v/>
      </c>
      <c r="H50" s="48">
        <f>IFERROR(E50/F50,0)</f>
        <v/>
      </c>
      <c r="I50" s="26">
        <f>IF(E50&gt;=F50,"🔴 LÍMITE SUPERADO",IF(E50&gt;=F50*0.85,"🟡 ALERTA",IF(E50&gt;=F50*0.6,"🟠 PRECAUCIÓN","🟢 OK")))</f>
        <v/>
      </c>
    </row>
    <row r="51">
      <c r="A51" s="13" t="inlineStr">
        <is>
          <t>GRÚA 11</t>
        </is>
      </c>
      <c r="B51" s="14" t="inlineStr">
        <is>
          <t>XXX-XXX</t>
        </is>
      </c>
      <c r="C51" s="15">
        <f>IFERROR(INDEX(L6:L36,MATCH(TRUE,L6:L36&lt;&gt;"",0)),0)</f>
        <v/>
      </c>
      <c r="D51" s="15">
        <f>IFERROR(LOOKUP(2,1/(L6:L36&lt;&gt;""),L6:L36),0)</f>
        <v/>
      </c>
      <c r="E51" s="16">
        <f>IF(D51-C51&gt;0,D51-C51,0)</f>
        <v/>
      </c>
      <c r="F51" s="17" t="n">
        <v>160</v>
      </c>
      <c r="G51" s="15">
        <f>F51-E51</f>
        <v/>
      </c>
      <c r="H51" s="47">
        <f>IFERROR(E51/F51,0)</f>
        <v/>
      </c>
      <c r="I51" s="19">
        <f>IF(E51&gt;=F51,"🔴 LÍMITE SUPERADO",IF(E51&gt;=F51*0.85,"🟡 ALERTA",IF(E51&gt;=F51*0.6,"🟠 PRECAUCIÓN","🟢 OK")))</f>
        <v/>
      </c>
    </row>
    <row r="52">
      <c r="A52" s="20" t="inlineStr">
        <is>
          <t>GRÚA 12</t>
        </is>
      </c>
      <c r="B52" s="21" t="inlineStr">
        <is>
          <t>XXX-XXX</t>
        </is>
      </c>
      <c r="C52" s="22">
        <f>IFERROR(INDEX(M6:M36,MATCH(TRUE,M6:M36&lt;&gt;"",0)),0)</f>
        <v/>
      </c>
      <c r="D52" s="22">
        <f>IFERROR(LOOKUP(2,1/(M6:M36&lt;&gt;""),M6:M36),0)</f>
        <v/>
      </c>
      <c r="E52" s="23">
        <f>IF(D52-C52&gt;0,D52-C52,0)</f>
        <v/>
      </c>
      <c r="F52" s="24" t="n">
        <v>160</v>
      </c>
      <c r="G52" s="22">
        <f>F52-E52</f>
        <v/>
      </c>
      <c r="H52" s="48">
        <f>IFERROR(E52/F52,0)</f>
        <v/>
      </c>
      <c r="I52" s="26">
        <f>IF(E52&gt;=F52,"🔴 LÍMITE SUPERADO",IF(E52&gt;=F52*0.85,"🟡 ALERTA",IF(E52&gt;=F52*0.6,"🟠 PRECAUCIÓN","🟢 OK")))</f>
        <v/>
      </c>
    </row>
  </sheetData>
  <mergeCells count="4">
    <mergeCell ref="A39:P39"/>
    <mergeCell ref="A1:P1"/>
    <mergeCell ref="A5:P5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500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8" customWidth="1" min="4" max="4"/>
    <col width="12" customWidth="1" min="5" max="5"/>
    <col width="12" customWidth="1" min="6" max="6"/>
    <col width="18" customWidth="1" min="7" max="7"/>
    <col width="16" customWidth="1" min="8" max="8"/>
    <col width="15" customWidth="1" min="9" max="9"/>
    <col width="18" customWidth="1" min="10" max="10"/>
    <col width="25" customWidth="1" min="11" max="11"/>
  </cols>
  <sheetData>
    <row r="1" ht="30" customHeight="1">
      <c r="A1" s="1" t="inlineStr">
        <is>
          <t>AEROSAN — CONTROL DE COMBUSTIBLE</t>
        </is>
      </c>
    </row>
    <row r="2" ht="20" customHeight="1">
      <c r="A2" s="27" t="inlineStr">
        <is>
          <t>Registre cada carga de combustible. El stock se actualiza automáticamente con cada ingreso.</t>
        </is>
      </c>
    </row>
    <row r="4" ht="28" customHeight="1">
      <c r="A4" s="28" t="inlineStr">
        <is>
          <t>STOCK INICIAL (Litros):</t>
        </is>
      </c>
      <c r="C4" s="29" t="n">
        <v>5000</v>
      </c>
      <c r="D4" s="28" t="inlineStr">
        <is>
          <t>STOCK MÍNIMO ALERTA (L):</t>
        </is>
      </c>
      <c r="F4" s="29" t="n">
        <v>500</v>
      </c>
      <c r="G4" s="30" t="inlineStr">
        <is>
          <t>STOCK ACTUAL:</t>
        </is>
      </c>
      <c r="I4" s="31">
        <f>C4-IFERROR(SUM(F6:F1000),0)+IFERROR(SUM(E6:E1000),0)</f>
        <v/>
      </c>
      <c r="J4" s="32">
        <f>IF(I4&lt;=F4,"⚠️ STOCK BAJO - REABASTECER","✅ STOCK OK")</f>
        <v/>
      </c>
      <c r="K4" s="49" t="n"/>
    </row>
    <row r="5" ht="8" customHeight="1"/>
    <row r="6" ht="30" customHeight="1">
      <c r="A6" s="33" t="inlineStr">
        <is>
          <t>FECHA</t>
        </is>
      </c>
      <c r="B6" s="33" t="inlineStr">
        <is>
          <t>VEHÍCULO / TRACTOR</t>
        </is>
      </c>
      <c r="C6" s="33" t="inlineStr">
        <is>
          <t>PATENTE</t>
        </is>
      </c>
      <c r="D6" s="33" t="inlineStr">
        <is>
          <t>CONDUCTOR</t>
        </is>
      </c>
      <c r="E6" s="33" t="inlineStr">
        <is>
          <t>CARGA (+L)</t>
        </is>
      </c>
      <c r="F6" s="33" t="inlineStr">
        <is>
          <t>CONSUMO (-L)</t>
        </is>
      </c>
      <c r="G6" s="33" t="inlineStr">
        <is>
          <t>STOCK ACUMULADO</t>
        </is>
      </c>
      <c r="H6" s="33" t="inlineStr">
        <is>
          <t>TIPO COMBUSTIBLE</t>
        </is>
      </c>
      <c r="I6" s="33" t="inlineStr">
        <is>
          <t>ODÓMETRO (KM)</t>
        </is>
      </c>
      <c r="J6" s="33" t="inlineStr">
        <is>
          <t>SUPERVISOR</t>
        </is>
      </c>
      <c r="K6" s="33" t="inlineStr">
        <is>
          <t>OBSERVACIONES</t>
        </is>
      </c>
    </row>
    <row r="7">
      <c r="A7" s="50" t="inlineStr"/>
      <c r="B7" s="35" t="n"/>
      <c r="C7" s="35" t="n"/>
      <c r="D7" s="35" t="n"/>
      <c r="E7" s="36" t="n"/>
      <c r="F7" s="36" t="n"/>
      <c r="G7" s="16">
        <f>C4+IF(E7="",0,E7)-IF(F7="",0,F7)</f>
        <v/>
      </c>
      <c r="H7" s="35" t="n"/>
      <c r="I7" s="35" t="n"/>
      <c r="J7" s="35" t="n"/>
      <c r="K7" s="35" t="n"/>
    </row>
    <row r="8">
      <c r="A8" s="51" t="inlineStr"/>
      <c r="B8" s="38" t="n"/>
      <c r="C8" s="38" t="n"/>
      <c r="D8" s="38" t="n"/>
      <c r="E8" s="39" t="n"/>
      <c r="F8" s="39" t="n"/>
      <c r="G8" s="23">
        <f>IF(AND(E8="",F8=""),"",G7+IF(E8="",0,E8)-IF(F8="",0,F8))</f>
        <v/>
      </c>
      <c r="H8" s="38" t="n"/>
      <c r="I8" s="38" t="n"/>
      <c r="J8" s="38" t="n"/>
      <c r="K8" s="38" t="n"/>
    </row>
    <row r="9">
      <c r="A9" s="50" t="inlineStr"/>
      <c r="B9" s="35" t="n"/>
      <c r="C9" s="35" t="n"/>
      <c r="D9" s="35" t="n"/>
      <c r="E9" s="36" t="n"/>
      <c r="F9" s="36" t="n"/>
      <c r="G9" s="16">
        <f>IF(AND(E9="",F9=""),"",G8+IF(E9="",0,E9)-IF(F9="",0,F9))</f>
        <v/>
      </c>
      <c r="H9" s="35" t="n"/>
      <c r="I9" s="35" t="n"/>
      <c r="J9" s="35" t="n"/>
      <c r="K9" s="35" t="n"/>
    </row>
    <row r="10">
      <c r="A10" s="51" t="inlineStr"/>
      <c r="B10" s="38" t="n"/>
      <c r="C10" s="38" t="n"/>
      <c r="D10" s="38" t="n"/>
      <c r="E10" s="39" t="n"/>
      <c r="F10" s="39" t="n"/>
      <c r="G10" s="23">
        <f>IF(AND(E10="",F10=""),"",G9+IF(E10="",0,E10)-IF(F10="",0,F10))</f>
        <v/>
      </c>
      <c r="H10" s="38" t="n"/>
      <c r="I10" s="38" t="n"/>
      <c r="J10" s="38" t="n"/>
      <c r="K10" s="38" t="n"/>
    </row>
    <row r="11">
      <c r="A11" s="50" t="inlineStr"/>
      <c r="B11" s="35" t="n"/>
      <c r="C11" s="35" t="n"/>
      <c r="D11" s="35" t="n"/>
      <c r="E11" s="36" t="n"/>
      <c r="F11" s="36" t="n"/>
      <c r="G11" s="16">
        <f>IF(AND(E11="",F11=""),"",G10+IF(E11="",0,E11)-IF(F11="",0,F11))</f>
        <v/>
      </c>
      <c r="H11" s="35" t="n"/>
      <c r="I11" s="35" t="n"/>
      <c r="J11" s="35" t="n"/>
      <c r="K11" s="35" t="n"/>
    </row>
    <row r="12">
      <c r="A12" s="51" t="inlineStr"/>
      <c r="B12" s="38" t="n"/>
      <c r="C12" s="38" t="n"/>
      <c r="D12" s="38" t="n"/>
      <c r="E12" s="39" t="n"/>
      <c r="F12" s="39" t="n"/>
      <c r="G12" s="23">
        <f>IF(AND(E12="",F12=""),"",G11+IF(E12="",0,E12)-IF(F12="",0,F12))</f>
        <v/>
      </c>
      <c r="H12" s="38" t="n"/>
      <c r="I12" s="38" t="n"/>
      <c r="J12" s="38" t="n"/>
      <c r="K12" s="38" t="n"/>
    </row>
    <row r="13">
      <c r="A13" s="50" t="inlineStr"/>
      <c r="B13" s="35" t="n"/>
      <c r="C13" s="35" t="n"/>
      <c r="D13" s="35" t="n"/>
      <c r="E13" s="36" t="n"/>
      <c r="F13" s="36" t="n"/>
      <c r="G13" s="16">
        <f>IF(AND(E13="",F13=""),"",G12+IF(E13="",0,E13)-IF(F13="",0,F13))</f>
        <v/>
      </c>
      <c r="H13" s="35" t="n"/>
      <c r="I13" s="35" t="n"/>
      <c r="J13" s="35" t="n"/>
      <c r="K13" s="35" t="n"/>
    </row>
    <row r="14">
      <c r="A14" s="51" t="inlineStr"/>
      <c r="B14" s="38" t="n"/>
      <c r="C14" s="38" t="n"/>
      <c r="D14" s="38" t="n"/>
      <c r="E14" s="39" t="n"/>
      <c r="F14" s="39" t="n"/>
      <c r="G14" s="23">
        <f>IF(AND(E14="",F14=""),"",G13+IF(E14="",0,E14)-IF(F14="",0,F14))</f>
        <v/>
      </c>
      <c r="H14" s="38" t="n"/>
      <c r="I14" s="38" t="n"/>
      <c r="J14" s="38" t="n"/>
      <c r="K14" s="38" t="n"/>
    </row>
    <row r="15">
      <c r="A15" s="50" t="inlineStr"/>
      <c r="B15" s="35" t="n"/>
      <c r="C15" s="35" t="n"/>
      <c r="D15" s="35" t="n"/>
      <c r="E15" s="36" t="n"/>
      <c r="F15" s="36" t="n"/>
      <c r="G15" s="16">
        <f>IF(AND(E15="",F15=""),"",G14+IF(E15="",0,E15)-IF(F15="",0,F15))</f>
        <v/>
      </c>
      <c r="H15" s="35" t="n"/>
      <c r="I15" s="35" t="n"/>
      <c r="J15" s="35" t="n"/>
      <c r="K15" s="35" t="n"/>
    </row>
    <row r="16">
      <c r="A16" s="51" t="inlineStr"/>
      <c r="B16" s="38" t="n"/>
      <c r="C16" s="38" t="n"/>
      <c r="D16" s="38" t="n"/>
      <c r="E16" s="39" t="n"/>
      <c r="F16" s="39" t="n"/>
      <c r="G16" s="23">
        <f>IF(AND(E16="",F16=""),"",G15+IF(E16="",0,E16)-IF(F16="",0,F16))</f>
        <v/>
      </c>
      <c r="H16" s="38" t="n"/>
      <c r="I16" s="38" t="n"/>
      <c r="J16" s="38" t="n"/>
      <c r="K16" s="38" t="n"/>
    </row>
    <row r="17">
      <c r="A17" s="50" t="inlineStr"/>
      <c r="B17" s="35" t="n"/>
      <c r="C17" s="35" t="n"/>
      <c r="D17" s="35" t="n"/>
      <c r="E17" s="36" t="n"/>
      <c r="F17" s="36" t="n"/>
      <c r="G17" s="16">
        <f>IF(AND(E17="",F17=""),"",G16+IF(E17="",0,E17)-IF(F17="",0,F17))</f>
        <v/>
      </c>
      <c r="H17" s="35" t="n"/>
      <c r="I17" s="35" t="n"/>
      <c r="J17" s="35" t="n"/>
      <c r="K17" s="35" t="n"/>
    </row>
    <row r="18">
      <c r="A18" s="51" t="inlineStr"/>
      <c r="B18" s="38" t="n"/>
      <c r="C18" s="38" t="n"/>
      <c r="D18" s="38" t="n"/>
      <c r="E18" s="39" t="n"/>
      <c r="F18" s="39" t="n"/>
      <c r="G18" s="23">
        <f>IF(AND(E18="",F18=""),"",G17+IF(E18="",0,E18)-IF(F18="",0,F18))</f>
        <v/>
      </c>
      <c r="H18" s="38" t="n"/>
      <c r="I18" s="38" t="n"/>
      <c r="J18" s="38" t="n"/>
      <c r="K18" s="38" t="n"/>
    </row>
    <row r="19">
      <c r="A19" s="50" t="inlineStr"/>
      <c r="B19" s="35" t="n"/>
      <c r="C19" s="35" t="n"/>
      <c r="D19" s="35" t="n"/>
      <c r="E19" s="36" t="n"/>
      <c r="F19" s="36" t="n"/>
      <c r="G19" s="16">
        <f>IF(AND(E19="",F19=""),"",G18+IF(E19="",0,E19)-IF(F19="",0,F19))</f>
        <v/>
      </c>
      <c r="H19" s="35" t="n"/>
      <c r="I19" s="35" t="n"/>
      <c r="J19" s="35" t="n"/>
      <c r="K19" s="35" t="n"/>
    </row>
    <row r="20">
      <c r="A20" s="51" t="inlineStr"/>
      <c r="B20" s="38" t="n"/>
      <c r="C20" s="38" t="n"/>
      <c r="D20" s="38" t="n"/>
      <c r="E20" s="39" t="n"/>
      <c r="F20" s="39" t="n"/>
      <c r="G20" s="23">
        <f>IF(AND(E20="",F20=""),"",G19+IF(E20="",0,E20)-IF(F20="",0,F20))</f>
        <v/>
      </c>
      <c r="H20" s="38" t="n"/>
      <c r="I20" s="38" t="n"/>
      <c r="J20" s="38" t="n"/>
      <c r="K20" s="38" t="n"/>
    </row>
    <row r="21">
      <c r="A21" s="50" t="inlineStr"/>
      <c r="B21" s="35" t="n"/>
      <c r="C21" s="35" t="n"/>
      <c r="D21" s="35" t="n"/>
      <c r="E21" s="36" t="n"/>
      <c r="F21" s="36" t="n"/>
      <c r="G21" s="16">
        <f>IF(AND(E21="",F21=""),"",G20+IF(E21="",0,E21)-IF(F21="",0,F21))</f>
        <v/>
      </c>
      <c r="H21" s="35" t="n"/>
      <c r="I21" s="35" t="n"/>
      <c r="J21" s="35" t="n"/>
      <c r="K21" s="35" t="n"/>
    </row>
    <row r="22">
      <c r="A22" s="51" t="inlineStr"/>
      <c r="B22" s="38" t="n"/>
      <c r="C22" s="38" t="n"/>
      <c r="D22" s="38" t="n"/>
      <c r="E22" s="39" t="n"/>
      <c r="F22" s="39" t="n"/>
      <c r="G22" s="23">
        <f>IF(AND(E22="",F22=""),"",G21+IF(E22="",0,E22)-IF(F22="",0,F22))</f>
        <v/>
      </c>
      <c r="H22" s="38" t="n"/>
      <c r="I22" s="38" t="n"/>
      <c r="J22" s="38" t="n"/>
      <c r="K22" s="38" t="n"/>
    </row>
    <row r="23">
      <c r="A23" s="50" t="inlineStr"/>
      <c r="B23" s="35" t="n"/>
      <c r="C23" s="35" t="n"/>
      <c r="D23" s="35" t="n"/>
      <c r="E23" s="36" t="n"/>
      <c r="F23" s="36" t="n"/>
      <c r="G23" s="16">
        <f>IF(AND(E23="",F23=""),"",G22+IF(E23="",0,E23)-IF(F23="",0,F23))</f>
        <v/>
      </c>
      <c r="H23" s="35" t="n"/>
      <c r="I23" s="35" t="n"/>
      <c r="J23" s="35" t="n"/>
      <c r="K23" s="35" t="n"/>
    </row>
    <row r="24">
      <c r="A24" s="51" t="inlineStr"/>
      <c r="B24" s="38" t="n"/>
      <c r="C24" s="38" t="n"/>
      <c r="D24" s="38" t="n"/>
      <c r="E24" s="39" t="n"/>
      <c r="F24" s="39" t="n"/>
      <c r="G24" s="23">
        <f>IF(AND(E24="",F24=""),"",G23+IF(E24="",0,E24)-IF(F24="",0,F24))</f>
        <v/>
      </c>
      <c r="H24" s="38" t="n"/>
      <c r="I24" s="38" t="n"/>
      <c r="J24" s="38" t="n"/>
      <c r="K24" s="38" t="n"/>
    </row>
    <row r="25">
      <c r="A25" s="50" t="inlineStr"/>
      <c r="B25" s="35" t="n"/>
      <c r="C25" s="35" t="n"/>
      <c r="D25" s="35" t="n"/>
      <c r="E25" s="36" t="n"/>
      <c r="F25" s="36" t="n"/>
      <c r="G25" s="16">
        <f>IF(AND(E25="",F25=""),"",G24+IF(E25="",0,E25)-IF(F25="",0,F25))</f>
        <v/>
      </c>
      <c r="H25" s="35" t="n"/>
      <c r="I25" s="35" t="n"/>
      <c r="J25" s="35" t="n"/>
      <c r="K25" s="35" t="n"/>
    </row>
    <row r="26">
      <c r="A26" s="51" t="inlineStr"/>
      <c r="B26" s="38" t="n"/>
      <c r="C26" s="38" t="n"/>
      <c r="D26" s="38" t="n"/>
      <c r="E26" s="39" t="n"/>
      <c r="F26" s="39" t="n"/>
      <c r="G26" s="23">
        <f>IF(AND(E26="",F26=""),"",G25+IF(E26="",0,E26)-IF(F26="",0,F26))</f>
        <v/>
      </c>
      <c r="H26" s="38" t="n"/>
      <c r="I26" s="38" t="n"/>
      <c r="J26" s="38" t="n"/>
      <c r="K26" s="38" t="n"/>
    </row>
    <row r="27">
      <c r="A27" s="50" t="inlineStr"/>
      <c r="B27" s="35" t="n"/>
      <c r="C27" s="35" t="n"/>
      <c r="D27" s="35" t="n"/>
      <c r="E27" s="36" t="n"/>
      <c r="F27" s="36" t="n"/>
      <c r="G27" s="16">
        <f>IF(AND(E27="",F27=""),"",G26+IF(E27="",0,E27)-IF(F27="",0,F27))</f>
        <v/>
      </c>
      <c r="H27" s="35" t="n"/>
      <c r="I27" s="35" t="n"/>
      <c r="J27" s="35" t="n"/>
      <c r="K27" s="35" t="n"/>
    </row>
    <row r="28">
      <c r="A28" s="51" t="inlineStr"/>
      <c r="B28" s="38" t="n"/>
      <c r="C28" s="38" t="n"/>
      <c r="D28" s="38" t="n"/>
      <c r="E28" s="39" t="n"/>
      <c r="F28" s="39" t="n"/>
      <c r="G28" s="23">
        <f>IF(AND(E28="",F28=""),"",G27+IF(E28="",0,E28)-IF(F28="",0,F28))</f>
        <v/>
      </c>
      <c r="H28" s="38" t="n"/>
      <c r="I28" s="38" t="n"/>
      <c r="J28" s="38" t="n"/>
      <c r="K28" s="38" t="n"/>
    </row>
    <row r="29">
      <c r="A29" s="50" t="inlineStr"/>
      <c r="B29" s="35" t="n"/>
      <c r="C29" s="35" t="n"/>
      <c r="D29" s="35" t="n"/>
      <c r="E29" s="36" t="n"/>
      <c r="F29" s="36" t="n"/>
      <c r="G29" s="16">
        <f>IF(AND(E29="",F29=""),"",G28+IF(E29="",0,E29)-IF(F29="",0,F29))</f>
        <v/>
      </c>
      <c r="H29" s="35" t="n"/>
      <c r="I29" s="35" t="n"/>
      <c r="J29" s="35" t="n"/>
      <c r="K29" s="35" t="n"/>
    </row>
    <row r="30">
      <c r="A30" s="51" t="inlineStr"/>
      <c r="B30" s="38" t="n"/>
      <c r="C30" s="38" t="n"/>
      <c r="D30" s="38" t="n"/>
      <c r="E30" s="39" t="n"/>
      <c r="F30" s="39" t="n"/>
      <c r="G30" s="23">
        <f>IF(AND(E30="",F30=""),"",G29+IF(E30="",0,E30)-IF(F30="",0,F30))</f>
        <v/>
      </c>
      <c r="H30" s="38" t="n"/>
      <c r="I30" s="38" t="n"/>
      <c r="J30" s="38" t="n"/>
      <c r="K30" s="38" t="n"/>
    </row>
    <row r="31">
      <c r="A31" s="50" t="inlineStr"/>
      <c r="B31" s="35" t="n"/>
      <c r="C31" s="35" t="n"/>
      <c r="D31" s="35" t="n"/>
      <c r="E31" s="36" t="n"/>
      <c r="F31" s="36" t="n"/>
      <c r="G31" s="16">
        <f>IF(AND(E31="",F31=""),"",G30+IF(E31="",0,E31)-IF(F31="",0,F31))</f>
        <v/>
      </c>
      <c r="H31" s="35" t="n"/>
      <c r="I31" s="35" t="n"/>
      <c r="J31" s="35" t="n"/>
      <c r="K31" s="35" t="n"/>
    </row>
    <row r="32">
      <c r="A32" s="51" t="inlineStr"/>
      <c r="B32" s="38" t="n"/>
      <c r="C32" s="38" t="n"/>
      <c r="D32" s="38" t="n"/>
      <c r="E32" s="39" t="n"/>
      <c r="F32" s="39" t="n"/>
      <c r="G32" s="23">
        <f>IF(AND(E32="",F32=""),"",G31+IF(E32="",0,E32)-IF(F32="",0,F32))</f>
        <v/>
      </c>
      <c r="H32" s="38" t="n"/>
      <c r="I32" s="38" t="n"/>
      <c r="J32" s="38" t="n"/>
      <c r="K32" s="38" t="n"/>
    </row>
    <row r="33">
      <c r="A33" s="50" t="inlineStr"/>
      <c r="B33" s="35" t="n"/>
      <c r="C33" s="35" t="n"/>
      <c r="D33" s="35" t="n"/>
      <c r="E33" s="36" t="n"/>
      <c r="F33" s="36" t="n"/>
      <c r="G33" s="16">
        <f>IF(AND(E33="",F33=""),"",G32+IF(E33="",0,E33)-IF(F33="",0,F33))</f>
        <v/>
      </c>
      <c r="H33" s="35" t="n"/>
      <c r="I33" s="35" t="n"/>
      <c r="J33" s="35" t="n"/>
      <c r="K33" s="35" t="n"/>
    </row>
    <row r="34">
      <c r="A34" s="51" t="inlineStr"/>
      <c r="B34" s="38" t="n"/>
      <c r="C34" s="38" t="n"/>
      <c r="D34" s="38" t="n"/>
      <c r="E34" s="39" t="n"/>
      <c r="F34" s="39" t="n"/>
      <c r="G34" s="23">
        <f>IF(AND(E34="",F34=""),"",G33+IF(E34="",0,E34)-IF(F34="",0,F34))</f>
        <v/>
      </c>
      <c r="H34" s="38" t="n"/>
      <c r="I34" s="38" t="n"/>
      <c r="J34" s="38" t="n"/>
      <c r="K34" s="38" t="n"/>
    </row>
    <row r="35">
      <c r="A35" s="50" t="inlineStr"/>
      <c r="B35" s="35" t="n"/>
      <c r="C35" s="35" t="n"/>
      <c r="D35" s="35" t="n"/>
      <c r="E35" s="36" t="n"/>
      <c r="F35" s="36" t="n"/>
      <c r="G35" s="16">
        <f>IF(AND(E35="",F35=""),"",G34+IF(E35="",0,E35)-IF(F35="",0,F35))</f>
        <v/>
      </c>
      <c r="H35" s="35" t="n"/>
      <c r="I35" s="35" t="n"/>
      <c r="J35" s="35" t="n"/>
      <c r="K35" s="35" t="n"/>
    </row>
    <row r="36">
      <c r="A36" s="51" t="inlineStr"/>
      <c r="B36" s="38" t="n"/>
      <c r="C36" s="38" t="n"/>
      <c r="D36" s="38" t="n"/>
      <c r="E36" s="39" t="n"/>
      <c r="F36" s="39" t="n"/>
      <c r="G36" s="23">
        <f>IF(AND(E36="",F36=""),"",G35+IF(E36="",0,E36)-IF(F36="",0,F36))</f>
        <v/>
      </c>
      <c r="H36" s="38" t="n"/>
      <c r="I36" s="38" t="n"/>
      <c r="J36" s="38" t="n"/>
      <c r="K36" s="38" t="n"/>
    </row>
    <row r="37">
      <c r="A37" s="50" t="inlineStr"/>
      <c r="B37" s="35" t="n"/>
      <c r="C37" s="35" t="n"/>
      <c r="D37" s="35" t="n"/>
      <c r="E37" s="36" t="n"/>
      <c r="F37" s="36" t="n"/>
      <c r="G37" s="16">
        <f>IF(AND(E37="",F37=""),"",G36+IF(E37="",0,E37)-IF(F37="",0,F37))</f>
        <v/>
      </c>
      <c r="H37" s="35" t="n"/>
      <c r="I37" s="35" t="n"/>
      <c r="J37" s="35" t="n"/>
      <c r="K37" s="35" t="n"/>
    </row>
    <row r="38">
      <c r="A38" s="51" t="inlineStr"/>
      <c r="B38" s="38" t="n"/>
      <c r="C38" s="38" t="n"/>
      <c r="D38" s="38" t="n"/>
      <c r="E38" s="39" t="n"/>
      <c r="F38" s="39" t="n"/>
      <c r="G38" s="23">
        <f>IF(AND(E38="",F38=""),"",G37+IF(E38="",0,E38)-IF(F38="",0,F38))</f>
        <v/>
      </c>
      <c r="H38" s="38" t="n"/>
      <c r="I38" s="38" t="n"/>
      <c r="J38" s="38" t="n"/>
      <c r="K38" s="38" t="n"/>
    </row>
    <row r="39">
      <c r="A39" s="50" t="inlineStr"/>
      <c r="B39" s="35" t="n"/>
      <c r="C39" s="35" t="n"/>
      <c r="D39" s="35" t="n"/>
      <c r="E39" s="36" t="n"/>
      <c r="F39" s="36" t="n"/>
      <c r="G39" s="16">
        <f>IF(AND(E39="",F39=""),"",G38+IF(E39="",0,E39)-IF(F39="",0,F39))</f>
        <v/>
      </c>
      <c r="H39" s="35" t="n"/>
      <c r="I39" s="35" t="n"/>
      <c r="J39" s="35" t="n"/>
      <c r="K39" s="35" t="n"/>
    </row>
    <row r="40">
      <c r="A40" s="51" t="inlineStr"/>
      <c r="B40" s="38" t="n"/>
      <c r="C40" s="38" t="n"/>
      <c r="D40" s="38" t="n"/>
      <c r="E40" s="39" t="n"/>
      <c r="F40" s="39" t="n"/>
      <c r="G40" s="23">
        <f>IF(AND(E40="",F40=""),"",G39+IF(E40="",0,E40)-IF(F40="",0,F40))</f>
        <v/>
      </c>
      <c r="H40" s="38" t="n"/>
      <c r="I40" s="38" t="n"/>
      <c r="J40" s="38" t="n"/>
      <c r="K40" s="38" t="n"/>
    </row>
    <row r="41">
      <c r="A41" s="50" t="inlineStr"/>
      <c r="B41" s="35" t="n"/>
      <c r="C41" s="35" t="n"/>
      <c r="D41" s="35" t="n"/>
      <c r="E41" s="36" t="n"/>
      <c r="F41" s="36" t="n"/>
      <c r="G41" s="16">
        <f>IF(AND(E41="",F41=""),"",G40+IF(E41="",0,E41)-IF(F41="",0,F41))</f>
        <v/>
      </c>
      <c r="H41" s="35" t="n"/>
      <c r="I41" s="35" t="n"/>
      <c r="J41" s="35" t="n"/>
      <c r="K41" s="35" t="n"/>
    </row>
    <row r="42">
      <c r="A42" s="51" t="inlineStr"/>
      <c r="B42" s="38" t="n"/>
      <c r="C42" s="38" t="n"/>
      <c r="D42" s="38" t="n"/>
      <c r="E42" s="39" t="n"/>
      <c r="F42" s="39" t="n"/>
      <c r="G42" s="23">
        <f>IF(AND(E42="",F42=""),"",G41+IF(E42="",0,E42)-IF(F42="",0,F42))</f>
        <v/>
      </c>
      <c r="H42" s="38" t="n"/>
      <c r="I42" s="38" t="n"/>
      <c r="J42" s="38" t="n"/>
      <c r="K42" s="38" t="n"/>
    </row>
    <row r="43">
      <c r="A43" s="50" t="inlineStr"/>
      <c r="B43" s="35" t="n"/>
      <c r="C43" s="35" t="n"/>
      <c r="D43" s="35" t="n"/>
      <c r="E43" s="36" t="n"/>
      <c r="F43" s="36" t="n"/>
      <c r="G43" s="16">
        <f>IF(AND(E43="",F43=""),"",G42+IF(E43="",0,E43)-IF(F43="",0,F43))</f>
        <v/>
      </c>
      <c r="H43" s="35" t="n"/>
      <c r="I43" s="35" t="n"/>
      <c r="J43" s="35" t="n"/>
      <c r="K43" s="35" t="n"/>
    </row>
    <row r="44">
      <c r="A44" s="51" t="inlineStr"/>
      <c r="B44" s="38" t="n"/>
      <c r="C44" s="38" t="n"/>
      <c r="D44" s="38" t="n"/>
      <c r="E44" s="39" t="n"/>
      <c r="F44" s="39" t="n"/>
      <c r="G44" s="23">
        <f>IF(AND(E44="",F44=""),"",G43+IF(E44="",0,E44)-IF(F44="",0,F44))</f>
        <v/>
      </c>
      <c r="H44" s="38" t="n"/>
      <c r="I44" s="38" t="n"/>
      <c r="J44" s="38" t="n"/>
      <c r="K44" s="38" t="n"/>
    </row>
    <row r="45">
      <c r="A45" s="50" t="inlineStr"/>
      <c r="B45" s="35" t="n"/>
      <c r="C45" s="35" t="n"/>
      <c r="D45" s="35" t="n"/>
      <c r="E45" s="36" t="n"/>
      <c r="F45" s="36" t="n"/>
      <c r="G45" s="16">
        <f>IF(AND(E45="",F45=""),"",G44+IF(E45="",0,E45)-IF(F45="",0,F45))</f>
        <v/>
      </c>
      <c r="H45" s="35" t="n"/>
      <c r="I45" s="35" t="n"/>
      <c r="J45" s="35" t="n"/>
      <c r="K45" s="35" t="n"/>
    </row>
    <row r="46">
      <c r="A46" s="51" t="inlineStr"/>
      <c r="B46" s="38" t="n"/>
      <c r="C46" s="38" t="n"/>
      <c r="D46" s="38" t="n"/>
      <c r="E46" s="39" t="n"/>
      <c r="F46" s="39" t="n"/>
      <c r="G46" s="23">
        <f>IF(AND(E46="",F46=""),"",G45+IF(E46="",0,E46)-IF(F46="",0,F46))</f>
        <v/>
      </c>
      <c r="H46" s="38" t="n"/>
      <c r="I46" s="38" t="n"/>
      <c r="J46" s="38" t="n"/>
      <c r="K46" s="38" t="n"/>
    </row>
    <row r="47">
      <c r="A47" s="50" t="inlineStr"/>
      <c r="B47" s="35" t="n"/>
      <c r="C47" s="35" t="n"/>
      <c r="D47" s="35" t="n"/>
      <c r="E47" s="36" t="n"/>
      <c r="F47" s="36" t="n"/>
      <c r="G47" s="16">
        <f>IF(AND(E47="",F47=""),"",G46+IF(E47="",0,E47)-IF(F47="",0,F47))</f>
        <v/>
      </c>
      <c r="H47" s="35" t="n"/>
      <c r="I47" s="35" t="n"/>
      <c r="J47" s="35" t="n"/>
      <c r="K47" s="35" t="n"/>
    </row>
    <row r="48">
      <c r="A48" s="51" t="inlineStr"/>
      <c r="B48" s="38" t="n"/>
      <c r="C48" s="38" t="n"/>
      <c r="D48" s="38" t="n"/>
      <c r="E48" s="39" t="n"/>
      <c r="F48" s="39" t="n"/>
      <c r="G48" s="23">
        <f>IF(AND(E48="",F48=""),"",G47+IF(E48="",0,E48)-IF(F48="",0,F48))</f>
        <v/>
      </c>
      <c r="H48" s="38" t="n"/>
      <c r="I48" s="38" t="n"/>
      <c r="J48" s="38" t="n"/>
      <c r="K48" s="38" t="n"/>
    </row>
    <row r="49">
      <c r="A49" s="50" t="inlineStr"/>
      <c r="B49" s="35" t="n"/>
      <c r="C49" s="35" t="n"/>
      <c r="D49" s="35" t="n"/>
      <c r="E49" s="36" t="n"/>
      <c r="F49" s="36" t="n"/>
      <c r="G49" s="16">
        <f>IF(AND(E49="",F49=""),"",G48+IF(E49="",0,E49)-IF(F49="",0,F49))</f>
        <v/>
      </c>
      <c r="H49" s="35" t="n"/>
      <c r="I49" s="35" t="n"/>
      <c r="J49" s="35" t="n"/>
      <c r="K49" s="35" t="n"/>
    </row>
    <row r="50">
      <c r="A50" s="51" t="inlineStr"/>
      <c r="B50" s="38" t="n"/>
      <c r="C50" s="38" t="n"/>
      <c r="D50" s="38" t="n"/>
      <c r="E50" s="39" t="n"/>
      <c r="F50" s="39" t="n"/>
      <c r="G50" s="23">
        <f>IF(AND(E50="",F50=""),"",G49+IF(E50="",0,E50)-IF(F50="",0,F50))</f>
        <v/>
      </c>
      <c r="H50" s="38" t="n"/>
      <c r="I50" s="38" t="n"/>
      <c r="J50" s="38" t="n"/>
      <c r="K50" s="38" t="n"/>
    </row>
    <row r="51">
      <c r="A51" s="50" t="inlineStr"/>
      <c r="B51" s="35" t="n"/>
      <c r="C51" s="35" t="n"/>
      <c r="D51" s="35" t="n"/>
      <c r="E51" s="36" t="n"/>
      <c r="F51" s="36" t="n"/>
      <c r="G51" s="16">
        <f>IF(AND(E51="",F51=""),"",G50+IF(E51="",0,E51)-IF(F51="",0,F51))</f>
        <v/>
      </c>
      <c r="H51" s="35" t="n"/>
      <c r="I51" s="35" t="n"/>
      <c r="J51" s="35" t="n"/>
      <c r="K51" s="35" t="n"/>
    </row>
    <row r="52">
      <c r="A52" s="51" t="inlineStr"/>
      <c r="B52" s="38" t="n"/>
      <c r="C52" s="38" t="n"/>
      <c r="D52" s="38" t="n"/>
      <c r="E52" s="39" t="n"/>
      <c r="F52" s="39" t="n"/>
      <c r="G52" s="23">
        <f>IF(AND(E52="",F52=""),"",G51+IF(E52="",0,E52)-IF(F52="",0,F52))</f>
        <v/>
      </c>
      <c r="H52" s="38" t="n"/>
      <c r="I52" s="38" t="n"/>
      <c r="J52" s="38" t="n"/>
      <c r="K52" s="38" t="n"/>
    </row>
    <row r="53">
      <c r="A53" s="50" t="inlineStr"/>
      <c r="B53" s="35" t="n"/>
      <c r="C53" s="35" t="n"/>
      <c r="D53" s="35" t="n"/>
      <c r="E53" s="36" t="n"/>
      <c r="F53" s="36" t="n"/>
      <c r="G53" s="16">
        <f>IF(AND(E53="",F53=""),"",G52+IF(E53="",0,E53)-IF(F53="",0,F53))</f>
        <v/>
      </c>
      <c r="H53" s="35" t="n"/>
      <c r="I53" s="35" t="n"/>
      <c r="J53" s="35" t="n"/>
      <c r="K53" s="35" t="n"/>
    </row>
    <row r="54">
      <c r="A54" s="51" t="inlineStr"/>
      <c r="B54" s="38" t="n"/>
      <c r="C54" s="38" t="n"/>
      <c r="D54" s="38" t="n"/>
      <c r="E54" s="39" t="n"/>
      <c r="F54" s="39" t="n"/>
      <c r="G54" s="23">
        <f>IF(AND(E54="",F54=""),"",G53+IF(E54="",0,E54)-IF(F54="",0,F54))</f>
        <v/>
      </c>
      <c r="H54" s="38" t="n"/>
      <c r="I54" s="38" t="n"/>
      <c r="J54" s="38" t="n"/>
      <c r="K54" s="38" t="n"/>
    </row>
    <row r="55">
      <c r="A55" s="50" t="inlineStr"/>
      <c r="B55" s="35" t="n"/>
      <c r="C55" s="35" t="n"/>
      <c r="D55" s="35" t="n"/>
      <c r="E55" s="36" t="n"/>
      <c r="F55" s="36" t="n"/>
      <c r="G55" s="16">
        <f>IF(AND(E55="",F55=""),"",G54+IF(E55="",0,E55)-IF(F55="",0,F55))</f>
        <v/>
      </c>
      <c r="H55" s="35" t="n"/>
      <c r="I55" s="35" t="n"/>
      <c r="J55" s="35" t="n"/>
      <c r="K55" s="35" t="n"/>
    </row>
    <row r="56">
      <c r="A56" s="51" t="inlineStr"/>
      <c r="B56" s="38" t="n"/>
      <c r="C56" s="38" t="n"/>
      <c r="D56" s="38" t="n"/>
      <c r="E56" s="39" t="n"/>
      <c r="F56" s="39" t="n"/>
      <c r="G56" s="23">
        <f>IF(AND(E56="",F56=""),"",G55+IF(E56="",0,E56)-IF(F56="",0,F56))</f>
        <v/>
      </c>
      <c r="H56" s="38" t="n"/>
      <c r="I56" s="38" t="n"/>
      <c r="J56" s="38" t="n"/>
      <c r="K56" s="38" t="n"/>
    </row>
    <row r="57">
      <c r="A57" s="50" t="inlineStr"/>
      <c r="B57" s="35" t="n"/>
      <c r="C57" s="35" t="n"/>
      <c r="D57" s="35" t="n"/>
      <c r="E57" s="36" t="n"/>
      <c r="F57" s="36" t="n"/>
      <c r="G57" s="16">
        <f>IF(AND(E57="",F57=""),"",G56+IF(E57="",0,E57)-IF(F57="",0,F57))</f>
        <v/>
      </c>
      <c r="H57" s="35" t="n"/>
      <c r="I57" s="35" t="n"/>
      <c r="J57" s="35" t="n"/>
      <c r="K57" s="35" t="n"/>
    </row>
    <row r="58">
      <c r="A58" s="51" t="inlineStr"/>
      <c r="B58" s="38" t="n"/>
      <c r="C58" s="38" t="n"/>
      <c r="D58" s="38" t="n"/>
      <c r="E58" s="39" t="n"/>
      <c r="F58" s="39" t="n"/>
      <c r="G58" s="23">
        <f>IF(AND(E58="",F58=""),"",G57+IF(E58="",0,E58)-IF(F58="",0,F58))</f>
        <v/>
      </c>
      <c r="H58" s="38" t="n"/>
      <c r="I58" s="38" t="n"/>
      <c r="J58" s="38" t="n"/>
      <c r="K58" s="38" t="n"/>
    </row>
    <row r="59">
      <c r="A59" s="50" t="inlineStr"/>
      <c r="B59" s="35" t="n"/>
      <c r="C59" s="35" t="n"/>
      <c r="D59" s="35" t="n"/>
      <c r="E59" s="36" t="n"/>
      <c r="F59" s="36" t="n"/>
      <c r="G59" s="16">
        <f>IF(AND(E59="",F59=""),"",G58+IF(E59="",0,E59)-IF(F59="",0,F59))</f>
        <v/>
      </c>
      <c r="H59" s="35" t="n"/>
      <c r="I59" s="35" t="n"/>
      <c r="J59" s="35" t="n"/>
      <c r="K59" s="35" t="n"/>
    </row>
    <row r="60">
      <c r="A60" s="51" t="inlineStr"/>
      <c r="B60" s="38" t="n"/>
      <c r="C60" s="38" t="n"/>
      <c r="D60" s="38" t="n"/>
      <c r="E60" s="39" t="n"/>
      <c r="F60" s="39" t="n"/>
      <c r="G60" s="23">
        <f>IF(AND(E60="",F60=""),"",G59+IF(E60="",0,E60)-IF(F60="",0,F60))</f>
        <v/>
      </c>
      <c r="H60" s="38" t="n"/>
      <c r="I60" s="38" t="n"/>
      <c r="J60" s="38" t="n"/>
      <c r="K60" s="38" t="n"/>
    </row>
    <row r="61">
      <c r="A61" s="50" t="inlineStr"/>
      <c r="B61" s="35" t="n"/>
      <c r="C61" s="35" t="n"/>
      <c r="D61" s="35" t="n"/>
      <c r="E61" s="36" t="n"/>
      <c r="F61" s="36" t="n"/>
      <c r="G61" s="16">
        <f>IF(AND(E61="",F61=""),"",G60+IF(E61="",0,E61)-IF(F61="",0,F61))</f>
        <v/>
      </c>
      <c r="H61" s="35" t="n"/>
      <c r="I61" s="35" t="n"/>
      <c r="J61" s="35" t="n"/>
      <c r="K61" s="35" t="n"/>
    </row>
    <row r="62">
      <c r="A62" s="51" t="inlineStr"/>
      <c r="B62" s="38" t="n"/>
      <c r="C62" s="38" t="n"/>
      <c r="D62" s="38" t="n"/>
      <c r="E62" s="39" t="n"/>
      <c r="F62" s="39" t="n"/>
      <c r="G62" s="23">
        <f>IF(AND(E62="",F62=""),"",G61+IF(E62="",0,E62)-IF(F62="",0,F62))</f>
        <v/>
      </c>
      <c r="H62" s="38" t="n"/>
      <c r="I62" s="38" t="n"/>
      <c r="J62" s="38" t="n"/>
      <c r="K62" s="38" t="n"/>
    </row>
    <row r="63">
      <c r="A63" s="50" t="inlineStr"/>
      <c r="B63" s="35" t="n"/>
      <c r="C63" s="35" t="n"/>
      <c r="D63" s="35" t="n"/>
      <c r="E63" s="36" t="n"/>
      <c r="F63" s="36" t="n"/>
      <c r="G63" s="16">
        <f>IF(AND(E63="",F63=""),"",G62+IF(E63="",0,E63)-IF(F63="",0,F63))</f>
        <v/>
      </c>
      <c r="H63" s="35" t="n"/>
      <c r="I63" s="35" t="n"/>
      <c r="J63" s="35" t="n"/>
      <c r="K63" s="35" t="n"/>
    </row>
    <row r="64">
      <c r="A64" s="51" t="inlineStr"/>
      <c r="B64" s="38" t="n"/>
      <c r="C64" s="38" t="n"/>
      <c r="D64" s="38" t="n"/>
      <c r="E64" s="39" t="n"/>
      <c r="F64" s="39" t="n"/>
      <c r="G64" s="23">
        <f>IF(AND(E64="",F64=""),"",G63+IF(E64="",0,E64)-IF(F64="",0,F64))</f>
        <v/>
      </c>
      <c r="H64" s="38" t="n"/>
      <c r="I64" s="38" t="n"/>
      <c r="J64" s="38" t="n"/>
      <c r="K64" s="38" t="n"/>
    </row>
    <row r="65">
      <c r="A65" s="50" t="inlineStr"/>
      <c r="B65" s="35" t="n"/>
      <c r="C65" s="35" t="n"/>
      <c r="D65" s="35" t="n"/>
      <c r="E65" s="36" t="n"/>
      <c r="F65" s="36" t="n"/>
      <c r="G65" s="16">
        <f>IF(AND(E65="",F65=""),"",G64+IF(E65="",0,E65)-IF(F65="",0,F65))</f>
        <v/>
      </c>
      <c r="H65" s="35" t="n"/>
      <c r="I65" s="35" t="n"/>
      <c r="J65" s="35" t="n"/>
      <c r="K65" s="35" t="n"/>
    </row>
    <row r="66">
      <c r="A66" s="51" t="inlineStr"/>
      <c r="B66" s="38" t="n"/>
      <c r="C66" s="38" t="n"/>
      <c r="D66" s="38" t="n"/>
      <c r="E66" s="39" t="n"/>
      <c r="F66" s="39" t="n"/>
      <c r="G66" s="23">
        <f>IF(AND(E66="",F66=""),"",G65+IF(E66="",0,E66)-IF(F66="",0,F66))</f>
        <v/>
      </c>
      <c r="H66" s="38" t="n"/>
      <c r="I66" s="38" t="n"/>
      <c r="J66" s="38" t="n"/>
      <c r="K66" s="38" t="n"/>
    </row>
    <row r="67">
      <c r="A67" s="50" t="inlineStr"/>
      <c r="B67" s="35" t="n"/>
      <c r="C67" s="35" t="n"/>
      <c r="D67" s="35" t="n"/>
      <c r="E67" s="36" t="n"/>
      <c r="F67" s="36" t="n"/>
      <c r="G67" s="16">
        <f>IF(AND(E67="",F67=""),"",G66+IF(E67="",0,E67)-IF(F67="",0,F67))</f>
        <v/>
      </c>
      <c r="H67" s="35" t="n"/>
      <c r="I67" s="35" t="n"/>
      <c r="J67" s="35" t="n"/>
      <c r="K67" s="35" t="n"/>
    </row>
    <row r="68">
      <c r="A68" s="51" t="inlineStr"/>
      <c r="B68" s="38" t="n"/>
      <c r="C68" s="38" t="n"/>
      <c r="D68" s="38" t="n"/>
      <c r="E68" s="39" t="n"/>
      <c r="F68" s="39" t="n"/>
      <c r="G68" s="23">
        <f>IF(AND(E68="",F68=""),"",G67+IF(E68="",0,E68)-IF(F68="",0,F68))</f>
        <v/>
      </c>
      <c r="H68" s="38" t="n"/>
      <c r="I68" s="38" t="n"/>
      <c r="J68" s="38" t="n"/>
      <c r="K68" s="38" t="n"/>
    </row>
    <row r="69">
      <c r="A69" s="50" t="inlineStr"/>
      <c r="B69" s="35" t="n"/>
      <c r="C69" s="35" t="n"/>
      <c r="D69" s="35" t="n"/>
      <c r="E69" s="36" t="n"/>
      <c r="F69" s="36" t="n"/>
      <c r="G69" s="16">
        <f>IF(AND(E69="",F69=""),"",G68+IF(E69="",0,E69)-IF(F69="",0,F69))</f>
        <v/>
      </c>
      <c r="H69" s="35" t="n"/>
      <c r="I69" s="35" t="n"/>
      <c r="J69" s="35" t="n"/>
      <c r="K69" s="35" t="n"/>
    </row>
    <row r="70">
      <c r="A70" s="51" t="inlineStr"/>
      <c r="B70" s="38" t="n"/>
      <c r="C70" s="38" t="n"/>
      <c r="D70" s="38" t="n"/>
      <c r="E70" s="39" t="n"/>
      <c r="F70" s="39" t="n"/>
      <c r="G70" s="23">
        <f>IF(AND(E70="",F70=""),"",G69+IF(E70="",0,E70)-IF(F70="",0,F70))</f>
        <v/>
      </c>
      <c r="H70" s="38" t="n"/>
      <c r="I70" s="38" t="n"/>
      <c r="J70" s="38" t="n"/>
      <c r="K70" s="38" t="n"/>
    </row>
    <row r="71">
      <c r="A71" s="50" t="inlineStr"/>
      <c r="B71" s="35" t="n"/>
      <c r="C71" s="35" t="n"/>
      <c r="D71" s="35" t="n"/>
      <c r="E71" s="36" t="n"/>
      <c r="F71" s="36" t="n"/>
      <c r="G71" s="16">
        <f>IF(AND(E71="",F71=""),"",G70+IF(E71="",0,E71)-IF(F71="",0,F71))</f>
        <v/>
      </c>
      <c r="H71" s="35" t="n"/>
      <c r="I71" s="35" t="n"/>
      <c r="J71" s="35" t="n"/>
      <c r="K71" s="35" t="n"/>
    </row>
    <row r="72">
      <c r="A72" s="51" t="inlineStr"/>
      <c r="B72" s="38" t="n"/>
      <c r="C72" s="38" t="n"/>
      <c r="D72" s="38" t="n"/>
      <c r="E72" s="39" t="n"/>
      <c r="F72" s="39" t="n"/>
      <c r="G72" s="23">
        <f>IF(AND(E72="",F72=""),"",G71+IF(E72="",0,E72)-IF(F72="",0,F72))</f>
        <v/>
      </c>
      <c r="H72" s="38" t="n"/>
      <c r="I72" s="38" t="n"/>
      <c r="J72" s="38" t="n"/>
      <c r="K72" s="38" t="n"/>
    </row>
    <row r="73">
      <c r="A73" s="50" t="inlineStr"/>
      <c r="B73" s="35" t="n"/>
      <c r="C73" s="35" t="n"/>
      <c r="D73" s="35" t="n"/>
      <c r="E73" s="36" t="n"/>
      <c r="F73" s="36" t="n"/>
      <c r="G73" s="16">
        <f>IF(AND(E73="",F73=""),"",G72+IF(E73="",0,E73)-IF(F73="",0,F73))</f>
        <v/>
      </c>
      <c r="H73" s="35" t="n"/>
      <c r="I73" s="35" t="n"/>
      <c r="J73" s="35" t="n"/>
      <c r="K73" s="35" t="n"/>
    </row>
    <row r="74">
      <c r="A74" s="51" t="inlineStr"/>
      <c r="B74" s="38" t="n"/>
      <c r="C74" s="38" t="n"/>
      <c r="D74" s="38" t="n"/>
      <c r="E74" s="39" t="n"/>
      <c r="F74" s="39" t="n"/>
      <c r="G74" s="23">
        <f>IF(AND(E74="",F74=""),"",G73+IF(E74="",0,E74)-IF(F74="",0,F74))</f>
        <v/>
      </c>
      <c r="H74" s="38" t="n"/>
      <c r="I74" s="38" t="n"/>
      <c r="J74" s="38" t="n"/>
      <c r="K74" s="38" t="n"/>
    </row>
    <row r="75">
      <c r="A75" s="50" t="inlineStr"/>
      <c r="B75" s="35" t="n"/>
      <c r="C75" s="35" t="n"/>
      <c r="D75" s="35" t="n"/>
      <c r="E75" s="36" t="n"/>
      <c r="F75" s="36" t="n"/>
      <c r="G75" s="16">
        <f>IF(AND(E75="",F75=""),"",G74+IF(E75="",0,E75)-IF(F75="",0,F75))</f>
        <v/>
      </c>
      <c r="H75" s="35" t="n"/>
      <c r="I75" s="35" t="n"/>
      <c r="J75" s="35" t="n"/>
      <c r="K75" s="35" t="n"/>
    </row>
    <row r="76">
      <c r="A76" s="51" t="inlineStr"/>
      <c r="B76" s="38" t="n"/>
      <c r="C76" s="38" t="n"/>
      <c r="D76" s="38" t="n"/>
      <c r="E76" s="39" t="n"/>
      <c r="F76" s="39" t="n"/>
      <c r="G76" s="23">
        <f>IF(AND(E76="",F76=""),"",G75+IF(E76="",0,E76)-IF(F76="",0,F76))</f>
        <v/>
      </c>
      <c r="H76" s="38" t="n"/>
      <c r="I76" s="38" t="n"/>
      <c r="J76" s="38" t="n"/>
      <c r="K76" s="38" t="n"/>
    </row>
    <row r="77">
      <c r="A77" s="50" t="inlineStr"/>
      <c r="B77" s="35" t="n"/>
      <c r="C77" s="35" t="n"/>
      <c r="D77" s="35" t="n"/>
      <c r="E77" s="36" t="n"/>
      <c r="F77" s="36" t="n"/>
      <c r="G77" s="16">
        <f>IF(AND(E77="",F77=""),"",G76+IF(E77="",0,E77)-IF(F77="",0,F77))</f>
        <v/>
      </c>
      <c r="H77" s="35" t="n"/>
      <c r="I77" s="35" t="n"/>
      <c r="J77" s="35" t="n"/>
      <c r="K77" s="35" t="n"/>
    </row>
    <row r="78">
      <c r="A78" s="51" t="inlineStr"/>
      <c r="B78" s="38" t="n"/>
      <c r="C78" s="38" t="n"/>
      <c r="D78" s="38" t="n"/>
      <c r="E78" s="39" t="n"/>
      <c r="F78" s="39" t="n"/>
      <c r="G78" s="23">
        <f>IF(AND(E78="",F78=""),"",G77+IF(E78="",0,E78)-IF(F78="",0,F78))</f>
        <v/>
      </c>
      <c r="H78" s="38" t="n"/>
      <c r="I78" s="38" t="n"/>
      <c r="J78" s="38" t="n"/>
      <c r="K78" s="38" t="n"/>
    </row>
    <row r="79">
      <c r="A79" s="50" t="inlineStr"/>
      <c r="B79" s="35" t="n"/>
      <c r="C79" s="35" t="n"/>
      <c r="D79" s="35" t="n"/>
      <c r="E79" s="36" t="n"/>
      <c r="F79" s="36" t="n"/>
      <c r="G79" s="16">
        <f>IF(AND(E79="",F79=""),"",G78+IF(E79="",0,E79)-IF(F79="",0,F79))</f>
        <v/>
      </c>
      <c r="H79" s="35" t="n"/>
      <c r="I79" s="35" t="n"/>
      <c r="J79" s="35" t="n"/>
      <c r="K79" s="35" t="n"/>
    </row>
    <row r="80">
      <c r="A80" s="51" t="inlineStr"/>
      <c r="B80" s="38" t="n"/>
      <c r="C80" s="38" t="n"/>
      <c r="D80" s="38" t="n"/>
      <c r="E80" s="39" t="n"/>
      <c r="F80" s="39" t="n"/>
      <c r="G80" s="23">
        <f>IF(AND(E80="",F80=""),"",G79+IF(E80="",0,E80)-IF(F80="",0,F80))</f>
        <v/>
      </c>
      <c r="H80" s="38" t="n"/>
      <c r="I80" s="38" t="n"/>
      <c r="J80" s="38" t="n"/>
      <c r="K80" s="38" t="n"/>
    </row>
    <row r="81">
      <c r="A81" s="50" t="inlineStr"/>
      <c r="B81" s="35" t="n"/>
      <c r="C81" s="35" t="n"/>
      <c r="D81" s="35" t="n"/>
      <c r="E81" s="36" t="n"/>
      <c r="F81" s="36" t="n"/>
      <c r="G81" s="16">
        <f>IF(AND(E81="",F81=""),"",G80+IF(E81="",0,E81)-IF(F81="",0,F81))</f>
        <v/>
      </c>
      <c r="H81" s="35" t="n"/>
      <c r="I81" s="35" t="n"/>
      <c r="J81" s="35" t="n"/>
      <c r="K81" s="35" t="n"/>
    </row>
    <row r="82">
      <c r="A82" s="51" t="inlineStr"/>
      <c r="B82" s="38" t="n"/>
      <c r="C82" s="38" t="n"/>
      <c r="D82" s="38" t="n"/>
      <c r="E82" s="39" t="n"/>
      <c r="F82" s="39" t="n"/>
      <c r="G82" s="23">
        <f>IF(AND(E82="",F82=""),"",G81+IF(E82="",0,E82)-IF(F82="",0,F82))</f>
        <v/>
      </c>
      <c r="H82" s="38" t="n"/>
      <c r="I82" s="38" t="n"/>
      <c r="J82" s="38" t="n"/>
      <c r="K82" s="38" t="n"/>
    </row>
    <row r="83">
      <c r="A83" s="50" t="inlineStr"/>
      <c r="B83" s="35" t="n"/>
      <c r="C83" s="35" t="n"/>
      <c r="D83" s="35" t="n"/>
      <c r="E83" s="36" t="n"/>
      <c r="F83" s="36" t="n"/>
      <c r="G83" s="16">
        <f>IF(AND(E83="",F83=""),"",G82+IF(E83="",0,E83)-IF(F83="",0,F83))</f>
        <v/>
      </c>
      <c r="H83" s="35" t="n"/>
      <c r="I83" s="35" t="n"/>
      <c r="J83" s="35" t="n"/>
      <c r="K83" s="35" t="n"/>
    </row>
    <row r="84">
      <c r="A84" s="51" t="inlineStr"/>
      <c r="B84" s="38" t="n"/>
      <c r="C84" s="38" t="n"/>
      <c r="D84" s="38" t="n"/>
      <c r="E84" s="39" t="n"/>
      <c r="F84" s="39" t="n"/>
      <c r="G84" s="23">
        <f>IF(AND(E84="",F84=""),"",G83+IF(E84="",0,E84)-IF(F84="",0,F84))</f>
        <v/>
      </c>
      <c r="H84" s="38" t="n"/>
      <c r="I84" s="38" t="n"/>
      <c r="J84" s="38" t="n"/>
      <c r="K84" s="38" t="n"/>
    </row>
    <row r="85">
      <c r="A85" s="50" t="inlineStr"/>
      <c r="B85" s="35" t="n"/>
      <c r="C85" s="35" t="n"/>
      <c r="D85" s="35" t="n"/>
      <c r="E85" s="36" t="n"/>
      <c r="F85" s="36" t="n"/>
      <c r="G85" s="16">
        <f>IF(AND(E85="",F85=""),"",G84+IF(E85="",0,E85)-IF(F85="",0,F85))</f>
        <v/>
      </c>
      <c r="H85" s="35" t="n"/>
      <c r="I85" s="35" t="n"/>
      <c r="J85" s="35" t="n"/>
      <c r="K85" s="35" t="n"/>
    </row>
    <row r="86">
      <c r="A86" s="51" t="inlineStr"/>
      <c r="B86" s="38" t="n"/>
      <c r="C86" s="38" t="n"/>
      <c r="D86" s="38" t="n"/>
      <c r="E86" s="39" t="n"/>
      <c r="F86" s="39" t="n"/>
      <c r="G86" s="23">
        <f>IF(AND(E86="",F86=""),"",G85+IF(E86="",0,E86)-IF(F86="",0,F86))</f>
        <v/>
      </c>
      <c r="H86" s="38" t="n"/>
      <c r="I86" s="38" t="n"/>
      <c r="J86" s="38" t="n"/>
      <c r="K86" s="38" t="n"/>
    </row>
    <row r="87">
      <c r="A87" s="50" t="inlineStr"/>
      <c r="B87" s="35" t="n"/>
      <c r="C87" s="35" t="n"/>
      <c r="D87" s="35" t="n"/>
      <c r="E87" s="36" t="n"/>
      <c r="F87" s="36" t="n"/>
      <c r="G87" s="16">
        <f>IF(AND(E87="",F87=""),"",G86+IF(E87="",0,E87)-IF(F87="",0,F87))</f>
        <v/>
      </c>
      <c r="H87" s="35" t="n"/>
      <c r="I87" s="35" t="n"/>
      <c r="J87" s="35" t="n"/>
      <c r="K87" s="35" t="n"/>
    </row>
    <row r="88">
      <c r="A88" s="51" t="inlineStr"/>
      <c r="B88" s="38" t="n"/>
      <c r="C88" s="38" t="n"/>
      <c r="D88" s="38" t="n"/>
      <c r="E88" s="39" t="n"/>
      <c r="F88" s="39" t="n"/>
      <c r="G88" s="23">
        <f>IF(AND(E88="",F88=""),"",G87+IF(E88="",0,E88)-IF(F88="",0,F88))</f>
        <v/>
      </c>
      <c r="H88" s="38" t="n"/>
      <c r="I88" s="38" t="n"/>
      <c r="J88" s="38" t="n"/>
      <c r="K88" s="38" t="n"/>
    </row>
    <row r="89">
      <c r="A89" s="50" t="inlineStr"/>
      <c r="B89" s="35" t="n"/>
      <c r="C89" s="35" t="n"/>
      <c r="D89" s="35" t="n"/>
      <c r="E89" s="36" t="n"/>
      <c r="F89" s="36" t="n"/>
      <c r="G89" s="16">
        <f>IF(AND(E89="",F89=""),"",G88+IF(E89="",0,E89)-IF(F89="",0,F89))</f>
        <v/>
      </c>
      <c r="H89" s="35" t="n"/>
      <c r="I89" s="35" t="n"/>
      <c r="J89" s="35" t="n"/>
      <c r="K89" s="35" t="n"/>
    </row>
    <row r="90">
      <c r="A90" s="51" t="inlineStr"/>
      <c r="B90" s="38" t="n"/>
      <c r="C90" s="38" t="n"/>
      <c r="D90" s="38" t="n"/>
      <c r="E90" s="39" t="n"/>
      <c r="F90" s="39" t="n"/>
      <c r="G90" s="23">
        <f>IF(AND(E90="",F90=""),"",G89+IF(E90="",0,E90)-IF(F90="",0,F90))</f>
        <v/>
      </c>
      <c r="H90" s="38" t="n"/>
      <c r="I90" s="38" t="n"/>
      <c r="J90" s="38" t="n"/>
      <c r="K90" s="38" t="n"/>
    </row>
    <row r="91">
      <c r="A91" s="50" t="inlineStr"/>
      <c r="B91" s="35" t="n"/>
      <c r="C91" s="35" t="n"/>
      <c r="D91" s="35" t="n"/>
      <c r="E91" s="36" t="n"/>
      <c r="F91" s="36" t="n"/>
      <c r="G91" s="16">
        <f>IF(AND(E91="",F91=""),"",G90+IF(E91="",0,E91)-IF(F91="",0,F91))</f>
        <v/>
      </c>
      <c r="H91" s="35" t="n"/>
      <c r="I91" s="35" t="n"/>
      <c r="J91" s="35" t="n"/>
      <c r="K91" s="35" t="n"/>
    </row>
    <row r="92">
      <c r="A92" s="51" t="inlineStr"/>
      <c r="B92" s="38" t="n"/>
      <c r="C92" s="38" t="n"/>
      <c r="D92" s="38" t="n"/>
      <c r="E92" s="39" t="n"/>
      <c r="F92" s="39" t="n"/>
      <c r="G92" s="23">
        <f>IF(AND(E92="",F92=""),"",G91+IF(E92="",0,E92)-IF(F92="",0,F92))</f>
        <v/>
      </c>
      <c r="H92" s="38" t="n"/>
      <c r="I92" s="38" t="n"/>
      <c r="J92" s="38" t="n"/>
      <c r="K92" s="38" t="n"/>
    </row>
    <row r="93">
      <c r="A93" s="50" t="inlineStr"/>
      <c r="B93" s="35" t="n"/>
      <c r="C93" s="35" t="n"/>
      <c r="D93" s="35" t="n"/>
      <c r="E93" s="36" t="n"/>
      <c r="F93" s="36" t="n"/>
      <c r="G93" s="16">
        <f>IF(AND(E93="",F93=""),"",G92+IF(E93="",0,E93)-IF(F93="",0,F93))</f>
        <v/>
      </c>
      <c r="H93" s="35" t="n"/>
      <c r="I93" s="35" t="n"/>
      <c r="J93" s="35" t="n"/>
      <c r="K93" s="35" t="n"/>
    </row>
    <row r="94">
      <c r="A94" s="51" t="inlineStr"/>
      <c r="B94" s="38" t="n"/>
      <c r="C94" s="38" t="n"/>
      <c r="D94" s="38" t="n"/>
      <c r="E94" s="39" t="n"/>
      <c r="F94" s="39" t="n"/>
      <c r="G94" s="23">
        <f>IF(AND(E94="",F94=""),"",G93+IF(E94="",0,E94)-IF(F94="",0,F94))</f>
        <v/>
      </c>
      <c r="H94" s="38" t="n"/>
      <c r="I94" s="38" t="n"/>
      <c r="J94" s="38" t="n"/>
      <c r="K94" s="38" t="n"/>
    </row>
    <row r="95">
      <c r="A95" s="50" t="inlineStr"/>
      <c r="B95" s="35" t="n"/>
      <c r="C95" s="35" t="n"/>
      <c r="D95" s="35" t="n"/>
      <c r="E95" s="36" t="n"/>
      <c r="F95" s="36" t="n"/>
      <c r="G95" s="16">
        <f>IF(AND(E95="",F95=""),"",G94+IF(E95="",0,E95)-IF(F95="",0,F95))</f>
        <v/>
      </c>
      <c r="H95" s="35" t="n"/>
      <c r="I95" s="35" t="n"/>
      <c r="J95" s="35" t="n"/>
      <c r="K95" s="35" t="n"/>
    </row>
    <row r="96">
      <c r="A96" s="51" t="inlineStr"/>
      <c r="B96" s="38" t="n"/>
      <c r="C96" s="38" t="n"/>
      <c r="D96" s="38" t="n"/>
      <c r="E96" s="39" t="n"/>
      <c r="F96" s="39" t="n"/>
      <c r="G96" s="23">
        <f>IF(AND(E96="",F96=""),"",G95+IF(E96="",0,E96)-IF(F96="",0,F96))</f>
        <v/>
      </c>
      <c r="H96" s="38" t="n"/>
      <c r="I96" s="38" t="n"/>
      <c r="J96" s="38" t="n"/>
      <c r="K96" s="38" t="n"/>
    </row>
    <row r="97">
      <c r="A97" s="50" t="inlineStr"/>
      <c r="B97" s="35" t="n"/>
      <c r="C97" s="35" t="n"/>
      <c r="D97" s="35" t="n"/>
      <c r="E97" s="36" t="n"/>
      <c r="F97" s="36" t="n"/>
      <c r="G97" s="16">
        <f>IF(AND(E97="",F97=""),"",G96+IF(E97="",0,E97)-IF(F97="",0,F97))</f>
        <v/>
      </c>
      <c r="H97" s="35" t="n"/>
      <c r="I97" s="35" t="n"/>
      <c r="J97" s="35" t="n"/>
      <c r="K97" s="35" t="n"/>
    </row>
    <row r="98">
      <c r="A98" s="51" t="inlineStr"/>
      <c r="B98" s="38" t="n"/>
      <c r="C98" s="38" t="n"/>
      <c r="D98" s="38" t="n"/>
      <c r="E98" s="39" t="n"/>
      <c r="F98" s="39" t="n"/>
      <c r="G98" s="23">
        <f>IF(AND(E98="",F98=""),"",G97+IF(E98="",0,E98)-IF(F98="",0,F98))</f>
        <v/>
      </c>
      <c r="H98" s="38" t="n"/>
      <c r="I98" s="38" t="n"/>
      <c r="J98" s="38" t="n"/>
      <c r="K98" s="38" t="n"/>
    </row>
    <row r="99">
      <c r="A99" s="50" t="inlineStr"/>
      <c r="B99" s="35" t="n"/>
      <c r="C99" s="35" t="n"/>
      <c r="D99" s="35" t="n"/>
      <c r="E99" s="36" t="n"/>
      <c r="F99" s="36" t="n"/>
      <c r="G99" s="16">
        <f>IF(AND(E99="",F99=""),"",G98+IF(E99="",0,E99)-IF(F99="",0,F99))</f>
        <v/>
      </c>
      <c r="H99" s="35" t="n"/>
      <c r="I99" s="35" t="n"/>
      <c r="J99" s="35" t="n"/>
      <c r="K99" s="35" t="n"/>
    </row>
    <row r="100">
      <c r="A100" s="51" t="inlineStr"/>
      <c r="B100" s="38" t="n"/>
      <c r="C100" s="38" t="n"/>
      <c r="D100" s="38" t="n"/>
      <c r="E100" s="39" t="n"/>
      <c r="F100" s="39" t="n"/>
      <c r="G100" s="23">
        <f>IF(AND(E100="",F100=""),"",G99+IF(E100="",0,E100)-IF(F100="",0,F100))</f>
        <v/>
      </c>
      <c r="H100" s="38" t="n"/>
      <c r="I100" s="38" t="n"/>
      <c r="J100" s="38" t="n"/>
      <c r="K100" s="38" t="n"/>
    </row>
    <row r="101">
      <c r="A101" s="50" t="inlineStr"/>
      <c r="B101" s="35" t="n"/>
      <c r="C101" s="35" t="n"/>
      <c r="D101" s="35" t="n"/>
      <c r="E101" s="36" t="n"/>
      <c r="F101" s="36" t="n"/>
      <c r="G101" s="16">
        <f>IF(AND(E101="",F101=""),"",G100+IF(E101="",0,E101)-IF(F101="",0,F101))</f>
        <v/>
      </c>
      <c r="H101" s="35" t="n"/>
      <c r="I101" s="35" t="n"/>
      <c r="J101" s="35" t="n"/>
      <c r="K101" s="35" t="n"/>
    </row>
    <row r="102">
      <c r="A102" s="51" t="inlineStr"/>
      <c r="B102" s="38" t="n"/>
      <c r="C102" s="38" t="n"/>
      <c r="D102" s="38" t="n"/>
      <c r="E102" s="39" t="n"/>
      <c r="F102" s="39" t="n"/>
      <c r="G102" s="23">
        <f>IF(AND(E102="",F102=""),"",G101+IF(E102="",0,E102)-IF(F102="",0,F102))</f>
        <v/>
      </c>
      <c r="H102" s="38" t="n"/>
      <c r="I102" s="38" t="n"/>
      <c r="J102" s="38" t="n"/>
      <c r="K102" s="38" t="n"/>
    </row>
    <row r="103">
      <c r="A103" s="50" t="inlineStr"/>
      <c r="B103" s="35" t="n"/>
      <c r="C103" s="35" t="n"/>
      <c r="D103" s="35" t="n"/>
      <c r="E103" s="36" t="n"/>
      <c r="F103" s="36" t="n"/>
      <c r="G103" s="16">
        <f>IF(AND(E103="",F103=""),"",G102+IF(E103="",0,E103)-IF(F103="",0,F103))</f>
        <v/>
      </c>
      <c r="H103" s="35" t="n"/>
      <c r="I103" s="35" t="n"/>
      <c r="J103" s="35" t="n"/>
      <c r="K103" s="35" t="n"/>
    </row>
    <row r="104">
      <c r="A104" s="51" t="inlineStr"/>
      <c r="B104" s="38" t="n"/>
      <c r="C104" s="38" t="n"/>
      <c r="D104" s="38" t="n"/>
      <c r="E104" s="39" t="n"/>
      <c r="F104" s="39" t="n"/>
      <c r="G104" s="23">
        <f>IF(AND(E104="",F104=""),"",G103+IF(E104="",0,E104)-IF(F104="",0,F104))</f>
        <v/>
      </c>
      <c r="H104" s="38" t="n"/>
      <c r="I104" s="38" t="n"/>
      <c r="J104" s="38" t="n"/>
      <c r="K104" s="38" t="n"/>
    </row>
    <row r="105">
      <c r="A105" s="50" t="inlineStr"/>
      <c r="B105" s="35" t="n"/>
      <c r="C105" s="35" t="n"/>
      <c r="D105" s="35" t="n"/>
      <c r="E105" s="36" t="n"/>
      <c r="F105" s="36" t="n"/>
      <c r="G105" s="16">
        <f>IF(AND(E105="",F105=""),"",G104+IF(E105="",0,E105)-IF(F105="",0,F105))</f>
        <v/>
      </c>
      <c r="H105" s="35" t="n"/>
      <c r="I105" s="35" t="n"/>
      <c r="J105" s="35" t="n"/>
      <c r="K105" s="35" t="n"/>
    </row>
    <row r="106">
      <c r="A106" s="51" t="inlineStr"/>
      <c r="B106" s="38" t="n"/>
      <c r="C106" s="38" t="n"/>
      <c r="D106" s="38" t="n"/>
      <c r="E106" s="39" t="n"/>
      <c r="F106" s="39" t="n"/>
      <c r="G106" s="23">
        <f>IF(AND(E106="",F106=""),"",G105+IF(E106="",0,E106)-IF(F106="",0,F106))</f>
        <v/>
      </c>
      <c r="H106" s="38" t="n"/>
      <c r="I106" s="38" t="n"/>
      <c r="J106" s="38" t="n"/>
      <c r="K106" s="38" t="n"/>
    </row>
    <row r="107">
      <c r="A107" s="50" t="inlineStr"/>
      <c r="B107" s="35" t="n"/>
      <c r="C107" s="35" t="n"/>
      <c r="D107" s="35" t="n"/>
      <c r="E107" s="36" t="n"/>
      <c r="F107" s="36" t="n"/>
      <c r="G107" s="16">
        <f>IF(AND(E107="",F107=""),"",G106+IF(E107="",0,E107)-IF(F107="",0,F107))</f>
        <v/>
      </c>
      <c r="H107" s="35" t="n"/>
      <c r="I107" s="35" t="n"/>
      <c r="J107" s="35" t="n"/>
      <c r="K107" s="35" t="n"/>
    </row>
    <row r="108">
      <c r="A108" s="51" t="inlineStr"/>
      <c r="B108" s="38" t="n"/>
      <c r="C108" s="38" t="n"/>
      <c r="D108" s="38" t="n"/>
      <c r="E108" s="39" t="n"/>
      <c r="F108" s="39" t="n"/>
      <c r="G108" s="23">
        <f>IF(AND(E108="",F108=""),"",G107+IF(E108="",0,E108)-IF(F108="",0,F108))</f>
        <v/>
      </c>
      <c r="H108" s="38" t="n"/>
      <c r="I108" s="38" t="n"/>
      <c r="J108" s="38" t="n"/>
      <c r="K108" s="38" t="n"/>
    </row>
    <row r="109">
      <c r="A109" s="50" t="inlineStr"/>
      <c r="B109" s="35" t="n"/>
      <c r="C109" s="35" t="n"/>
      <c r="D109" s="35" t="n"/>
      <c r="E109" s="36" t="n"/>
      <c r="F109" s="36" t="n"/>
      <c r="G109" s="16">
        <f>IF(AND(E109="",F109=""),"",G108+IF(E109="",0,E109)-IF(F109="",0,F109))</f>
        <v/>
      </c>
      <c r="H109" s="35" t="n"/>
      <c r="I109" s="35" t="n"/>
      <c r="J109" s="35" t="n"/>
      <c r="K109" s="35" t="n"/>
    </row>
    <row r="110">
      <c r="A110" s="51" t="inlineStr"/>
      <c r="B110" s="38" t="n"/>
      <c r="C110" s="38" t="n"/>
      <c r="D110" s="38" t="n"/>
      <c r="E110" s="39" t="n"/>
      <c r="F110" s="39" t="n"/>
      <c r="G110" s="23">
        <f>IF(AND(E110="",F110=""),"",G109+IF(E110="",0,E110)-IF(F110="",0,F110))</f>
        <v/>
      </c>
      <c r="H110" s="38" t="n"/>
      <c r="I110" s="38" t="n"/>
      <c r="J110" s="38" t="n"/>
      <c r="K110" s="38" t="n"/>
    </row>
    <row r="111">
      <c r="A111" s="50" t="inlineStr"/>
      <c r="B111" s="35" t="n"/>
      <c r="C111" s="35" t="n"/>
      <c r="D111" s="35" t="n"/>
      <c r="E111" s="36" t="n"/>
      <c r="F111" s="36" t="n"/>
      <c r="G111" s="16">
        <f>IF(AND(E111="",F111=""),"",G110+IF(E111="",0,E111)-IF(F111="",0,F111))</f>
        <v/>
      </c>
      <c r="H111" s="35" t="n"/>
      <c r="I111" s="35" t="n"/>
      <c r="J111" s="35" t="n"/>
      <c r="K111" s="35" t="n"/>
    </row>
    <row r="112">
      <c r="A112" s="51" t="inlineStr"/>
      <c r="B112" s="38" t="n"/>
      <c r="C112" s="38" t="n"/>
      <c r="D112" s="38" t="n"/>
      <c r="E112" s="39" t="n"/>
      <c r="F112" s="39" t="n"/>
      <c r="G112" s="23">
        <f>IF(AND(E112="",F112=""),"",G111+IF(E112="",0,E112)-IF(F112="",0,F112))</f>
        <v/>
      </c>
      <c r="H112" s="38" t="n"/>
      <c r="I112" s="38" t="n"/>
      <c r="J112" s="38" t="n"/>
      <c r="K112" s="38" t="n"/>
    </row>
    <row r="113">
      <c r="A113" s="50" t="inlineStr"/>
      <c r="B113" s="35" t="n"/>
      <c r="C113" s="35" t="n"/>
      <c r="D113" s="35" t="n"/>
      <c r="E113" s="36" t="n"/>
      <c r="F113" s="36" t="n"/>
      <c r="G113" s="16">
        <f>IF(AND(E113="",F113=""),"",G112+IF(E113="",0,E113)-IF(F113="",0,F113))</f>
        <v/>
      </c>
      <c r="H113" s="35" t="n"/>
      <c r="I113" s="35" t="n"/>
      <c r="J113" s="35" t="n"/>
      <c r="K113" s="35" t="n"/>
    </row>
    <row r="114">
      <c r="A114" s="51" t="inlineStr"/>
      <c r="B114" s="38" t="n"/>
      <c r="C114" s="38" t="n"/>
      <c r="D114" s="38" t="n"/>
      <c r="E114" s="39" t="n"/>
      <c r="F114" s="39" t="n"/>
      <c r="G114" s="23">
        <f>IF(AND(E114="",F114=""),"",G113+IF(E114="",0,E114)-IF(F114="",0,F114))</f>
        <v/>
      </c>
      <c r="H114" s="38" t="n"/>
      <c r="I114" s="38" t="n"/>
      <c r="J114" s="38" t="n"/>
      <c r="K114" s="38" t="n"/>
    </row>
    <row r="115">
      <c r="A115" s="50" t="inlineStr"/>
      <c r="B115" s="35" t="n"/>
      <c r="C115" s="35" t="n"/>
      <c r="D115" s="35" t="n"/>
      <c r="E115" s="36" t="n"/>
      <c r="F115" s="36" t="n"/>
      <c r="G115" s="16">
        <f>IF(AND(E115="",F115=""),"",G114+IF(E115="",0,E115)-IF(F115="",0,F115))</f>
        <v/>
      </c>
      <c r="H115" s="35" t="n"/>
      <c r="I115" s="35" t="n"/>
      <c r="J115" s="35" t="n"/>
      <c r="K115" s="35" t="n"/>
    </row>
    <row r="116">
      <c r="A116" s="51" t="inlineStr"/>
      <c r="B116" s="38" t="n"/>
      <c r="C116" s="38" t="n"/>
      <c r="D116" s="38" t="n"/>
      <c r="E116" s="39" t="n"/>
      <c r="F116" s="39" t="n"/>
      <c r="G116" s="23">
        <f>IF(AND(E116="",F116=""),"",G115+IF(E116="",0,E116)-IF(F116="",0,F116))</f>
        <v/>
      </c>
      <c r="H116" s="38" t="n"/>
      <c r="I116" s="38" t="n"/>
      <c r="J116" s="38" t="n"/>
      <c r="K116" s="38" t="n"/>
    </row>
    <row r="117">
      <c r="A117" s="50" t="inlineStr"/>
      <c r="B117" s="35" t="n"/>
      <c r="C117" s="35" t="n"/>
      <c r="D117" s="35" t="n"/>
      <c r="E117" s="36" t="n"/>
      <c r="F117" s="36" t="n"/>
      <c r="G117" s="16">
        <f>IF(AND(E117="",F117=""),"",G116+IF(E117="",0,E117)-IF(F117="",0,F117))</f>
        <v/>
      </c>
      <c r="H117" s="35" t="n"/>
      <c r="I117" s="35" t="n"/>
      <c r="J117" s="35" t="n"/>
      <c r="K117" s="35" t="n"/>
    </row>
    <row r="118">
      <c r="A118" s="51" t="inlineStr"/>
      <c r="B118" s="38" t="n"/>
      <c r="C118" s="38" t="n"/>
      <c r="D118" s="38" t="n"/>
      <c r="E118" s="39" t="n"/>
      <c r="F118" s="39" t="n"/>
      <c r="G118" s="23">
        <f>IF(AND(E118="",F118=""),"",G117+IF(E118="",0,E118)-IF(F118="",0,F118))</f>
        <v/>
      </c>
      <c r="H118" s="38" t="n"/>
      <c r="I118" s="38" t="n"/>
      <c r="J118" s="38" t="n"/>
      <c r="K118" s="38" t="n"/>
    </row>
    <row r="119">
      <c r="A119" s="50" t="inlineStr"/>
      <c r="B119" s="35" t="n"/>
      <c r="C119" s="35" t="n"/>
      <c r="D119" s="35" t="n"/>
      <c r="E119" s="36" t="n"/>
      <c r="F119" s="36" t="n"/>
      <c r="G119" s="16">
        <f>IF(AND(E119="",F119=""),"",G118+IF(E119="",0,E119)-IF(F119="",0,F119))</f>
        <v/>
      </c>
      <c r="H119" s="35" t="n"/>
      <c r="I119" s="35" t="n"/>
      <c r="J119" s="35" t="n"/>
      <c r="K119" s="35" t="n"/>
    </row>
    <row r="120">
      <c r="A120" s="51" t="inlineStr"/>
      <c r="B120" s="38" t="n"/>
      <c r="C120" s="38" t="n"/>
      <c r="D120" s="38" t="n"/>
      <c r="E120" s="39" t="n"/>
      <c r="F120" s="39" t="n"/>
      <c r="G120" s="23">
        <f>IF(AND(E120="",F120=""),"",G119+IF(E120="",0,E120)-IF(F120="",0,F120))</f>
        <v/>
      </c>
      <c r="H120" s="38" t="n"/>
      <c r="I120" s="38" t="n"/>
      <c r="J120" s="38" t="n"/>
      <c r="K120" s="38" t="n"/>
    </row>
    <row r="121">
      <c r="A121" s="50" t="inlineStr"/>
      <c r="B121" s="35" t="n"/>
      <c r="C121" s="35" t="n"/>
      <c r="D121" s="35" t="n"/>
      <c r="E121" s="36" t="n"/>
      <c r="F121" s="36" t="n"/>
      <c r="G121" s="16">
        <f>IF(AND(E121="",F121=""),"",G120+IF(E121="",0,E121)-IF(F121="",0,F121))</f>
        <v/>
      </c>
      <c r="H121" s="35" t="n"/>
      <c r="I121" s="35" t="n"/>
      <c r="J121" s="35" t="n"/>
      <c r="K121" s="35" t="n"/>
    </row>
    <row r="122">
      <c r="A122" s="51" t="inlineStr"/>
      <c r="B122" s="38" t="n"/>
      <c r="C122" s="38" t="n"/>
      <c r="D122" s="38" t="n"/>
      <c r="E122" s="39" t="n"/>
      <c r="F122" s="39" t="n"/>
      <c r="G122" s="23">
        <f>IF(AND(E122="",F122=""),"",G121+IF(E122="",0,E122)-IF(F122="",0,F122))</f>
        <v/>
      </c>
      <c r="H122" s="38" t="n"/>
      <c r="I122" s="38" t="n"/>
      <c r="J122" s="38" t="n"/>
      <c r="K122" s="38" t="n"/>
    </row>
    <row r="123">
      <c r="A123" s="50" t="inlineStr"/>
      <c r="B123" s="35" t="n"/>
      <c r="C123" s="35" t="n"/>
      <c r="D123" s="35" t="n"/>
      <c r="E123" s="36" t="n"/>
      <c r="F123" s="36" t="n"/>
      <c r="G123" s="16">
        <f>IF(AND(E123="",F123=""),"",G122+IF(E123="",0,E123)-IF(F123="",0,F123))</f>
        <v/>
      </c>
      <c r="H123" s="35" t="n"/>
      <c r="I123" s="35" t="n"/>
      <c r="J123" s="35" t="n"/>
      <c r="K123" s="35" t="n"/>
    </row>
    <row r="124">
      <c r="A124" s="51" t="inlineStr"/>
      <c r="B124" s="38" t="n"/>
      <c r="C124" s="38" t="n"/>
      <c r="D124" s="38" t="n"/>
      <c r="E124" s="39" t="n"/>
      <c r="F124" s="39" t="n"/>
      <c r="G124" s="23">
        <f>IF(AND(E124="",F124=""),"",G123+IF(E124="",0,E124)-IF(F124="",0,F124))</f>
        <v/>
      </c>
      <c r="H124" s="38" t="n"/>
      <c r="I124" s="38" t="n"/>
      <c r="J124" s="38" t="n"/>
      <c r="K124" s="38" t="n"/>
    </row>
    <row r="125">
      <c r="A125" s="50" t="inlineStr"/>
      <c r="B125" s="35" t="n"/>
      <c r="C125" s="35" t="n"/>
      <c r="D125" s="35" t="n"/>
      <c r="E125" s="36" t="n"/>
      <c r="F125" s="36" t="n"/>
      <c r="G125" s="16">
        <f>IF(AND(E125="",F125=""),"",G124+IF(E125="",0,E125)-IF(F125="",0,F125))</f>
        <v/>
      </c>
      <c r="H125" s="35" t="n"/>
      <c r="I125" s="35" t="n"/>
      <c r="J125" s="35" t="n"/>
      <c r="K125" s="35" t="n"/>
    </row>
    <row r="126">
      <c r="A126" s="51" t="inlineStr"/>
      <c r="B126" s="38" t="n"/>
      <c r="C126" s="38" t="n"/>
      <c r="D126" s="38" t="n"/>
      <c r="E126" s="39" t="n"/>
      <c r="F126" s="39" t="n"/>
      <c r="G126" s="23">
        <f>IF(AND(E126="",F126=""),"",G125+IF(E126="",0,E126)-IF(F126="",0,F126))</f>
        <v/>
      </c>
      <c r="H126" s="38" t="n"/>
      <c r="I126" s="38" t="n"/>
      <c r="J126" s="38" t="n"/>
      <c r="K126" s="38" t="n"/>
    </row>
    <row r="127">
      <c r="A127" s="50" t="inlineStr"/>
      <c r="B127" s="35" t="n"/>
      <c r="C127" s="35" t="n"/>
      <c r="D127" s="35" t="n"/>
      <c r="E127" s="36" t="n"/>
      <c r="F127" s="36" t="n"/>
      <c r="G127" s="16">
        <f>IF(AND(E127="",F127=""),"",G126+IF(E127="",0,E127)-IF(F127="",0,F127))</f>
        <v/>
      </c>
      <c r="H127" s="35" t="n"/>
      <c r="I127" s="35" t="n"/>
      <c r="J127" s="35" t="n"/>
      <c r="K127" s="35" t="n"/>
    </row>
    <row r="128">
      <c r="A128" s="51" t="inlineStr"/>
      <c r="B128" s="38" t="n"/>
      <c r="C128" s="38" t="n"/>
      <c r="D128" s="38" t="n"/>
      <c r="E128" s="39" t="n"/>
      <c r="F128" s="39" t="n"/>
      <c r="G128" s="23">
        <f>IF(AND(E128="",F128=""),"",G127+IF(E128="",0,E128)-IF(F128="",0,F128))</f>
        <v/>
      </c>
      <c r="H128" s="38" t="n"/>
      <c r="I128" s="38" t="n"/>
      <c r="J128" s="38" t="n"/>
      <c r="K128" s="38" t="n"/>
    </row>
    <row r="129">
      <c r="A129" s="50" t="inlineStr"/>
      <c r="B129" s="35" t="n"/>
      <c r="C129" s="35" t="n"/>
      <c r="D129" s="35" t="n"/>
      <c r="E129" s="36" t="n"/>
      <c r="F129" s="36" t="n"/>
      <c r="G129" s="16">
        <f>IF(AND(E129="",F129=""),"",G128+IF(E129="",0,E129)-IF(F129="",0,F129))</f>
        <v/>
      </c>
      <c r="H129" s="35" t="n"/>
      <c r="I129" s="35" t="n"/>
      <c r="J129" s="35" t="n"/>
      <c r="K129" s="35" t="n"/>
    </row>
    <row r="130">
      <c r="A130" s="51" t="inlineStr"/>
      <c r="B130" s="38" t="n"/>
      <c r="C130" s="38" t="n"/>
      <c r="D130" s="38" t="n"/>
      <c r="E130" s="39" t="n"/>
      <c r="F130" s="39" t="n"/>
      <c r="G130" s="23">
        <f>IF(AND(E130="",F130=""),"",G129+IF(E130="",0,E130)-IF(F130="",0,F130))</f>
        <v/>
      </c>
      <c r="H130" s="38" t="n"/>
      <c r="I130" s="38" t="n"/>
      <c r="J130" s="38" t="n"/>
      <c r="K130" s="38" t="n"/>
    </row>
    <row r="131">
      <c r="A131" s="50" t="inlineStr"/>
      <c r="B131" s="35" t="n"/>
      <c r="C131" s="35" t="n"/>
      <c r="D131" s="35" t="n"/>
      <c r="E131" s="36" t="n"/>
      <c r="F131" s="36" t="n"/>
      <c r="G131" s="16">
        <f>IF(AND(E131="",F131=""),"",G130+IF(E131="",0,E131)-IF(F131="",0,F131))</f>
        <v/>
      </c>
      <c r="H131" s="35" t="n"/>
      <c r="I131" s="35" t="n"/>
      <c r="J131" s="35" t="n"/>
      <c r="K131" s="35" t="n"/>
    </row>
    <row r="132">
      <c r="A132" s="51" t="inlineStr"/>
      <c r="B132" s="38" t="n"/>
      <c r="C132" s="38" t="n"/>
      <c r="D132" s="38" t="n"/>
      <c r="E132" s="39" t="n"/>
      <c r="F132" s="39" t="n"/>
      <c r="G132" s="23">
        <f>IF(AND(E132="",F132=""),"",G131+IF(E132="",0,E132)-IF(F132="",0,F132))</f>
        <v/>
      </c>
      <c r="H132" s="38" t="n"/>
      <c r="I132" s="38" t="n"/>
      <c r="J132" s="38" t="n"/>
      <c r="K132" s="38" t="n"/>
    </row>
    <row r="133">
      <c r="A133" s="50" t="inlineStr"/>
      <c r="B133" s="35" t="n"/>
      <c r="C133" s="35" t="n"/>
      <c r="D133" s="35" t="n"/>
      <c r="E133" s="36" t="n"/>
      <c r="F133" s="36" t="n"/>
      <c r="G133" s="16">
        <f>IF(AND(E133="",F133=""),"",G132+IF(E133="",0,E133)-IF(F133="",0,F133))</f>
        <v/>
      </c>
      <c r="H133" s="35" t="n"/>
      <c r="I133" s="35" t="n"/>
      <c r="J133" s="35" t="n"/>
      <c r="K133" s="35" t="n"/>
    </row>
    <row r="134">
      <c r="A134" s="51" t="inlineStr"/>
      <c r="B134" s="38" t="n"/>
      <c r="C134" s="38" t="n"/>
      <c r="D134" s="38" t="n"/>
      <c r="E134" s="39" t="n"/>
      <c r="F134" s="39" t="n"/>
      <c r="G134" s="23">
        <f>IF(AND(E134="",F134=""),"",G133+IF(E134="",0,E134)-IF(F134="",0,F134))</f>
        <v/>
      </c>
      <c r="H134" s="38" t="n"/>
      <c r="I134" s="38" t="n"/>
      <c r="J134" s="38" t="n"/>
      <c r="K134" s="38" t="n"/>
    </row>
    <row r="135">
      <c r="A135" s="50" t="inlineStr"/>
      <c r="B135" s="35" t="n"/>
      <c r="C135" s="35" t="n"/>
      <c r="D135" s="35" t="n"/>
      <c r="E135" s="36" t="n"/>
      <c r="F135" s="36" t="n"/>
      <c r="G135" s="16">
        <f>IF(AND(E135="",F135=""),"",G134+IF(E135="",0,E135)-IF(F135="",0,F135))</f>
        <v/>
      </c>
      <c r="H135" s="35" t="n"/>
      <c r="I135" s="35" t="n"/>
      <c r="J135" s="35" t="n"/>
      <c r="K135" s="35" t="n"/>
    </row>
    <row r="136">
      <c r="A136" s="51" t="inlineStr"/>
      <c r="B136" s="38" t="n"/>
      <c r="C136" s="38" t="n"/>
      <c r="D136" s="38" t="n"/>
      <c r="E136" s="39" t="n"/>
      <c r="F136" s="39" t="n"/>
      <c r="G136" s="23">
        <f>IF(AND(E136="",F136=""),"",G135+IF(E136="",0,E136)-IF(F136="",0,F136))</f>
        <v/>
      </c>
      <c r="H136" s="38" t="n"/>
      <c r="I136" s="38" t="n"/>
      <c r="J136" s="38" t="n"/>
      <c r="K136" s="38" t="n"/>
    </row>
    <row r="137">
      <c r="A137" s="50" t="inlineStr"/>
      <c r="B137" s="35" t="n"/>
      <c r="C137" s="35" t="n"/>
      <c r="D137" s="35" t="n"/>
      <c r="E137" s="36" t="n"/>
      <c r="F137" s="36" t="n"/>
      <c r="G137" s="16">
        <f>IF(AND(E137="",F137=""),"",G136+IF(E137="",0,E137)-IF(F137="",0,F137))</f>
        <v/>
      </c>
      <c r="H137" s="35" t="n"/>
      <c r="I137" s="35" t="n"/>
      <c r="J137" s="35" t="n"/>
      <c r="K137" s="35" t="n"/>
    </row>
    <row r="138">
      <c r="A138" s="51" t="inlineStr"/>
      <c r="B138" s="38" t="n"/>
      <c r="C138" s="38" t="n"/>
      <c r="D138" s="38" t="n"/>
      <c r="E138" s="39" t="n"/>
      <c r="F138" s="39" t="n"/>
      <c r="G138" s="23">
        <f>IF(AND(E138="",F138=""),"",G137+IF(E138="",0,E138)-IF(F138="",0,F138))</f>
        <v/>
      </c>
      <c r="H138" s="38" t="n"/>
      <c r="I138" s="38" t="n"/>
      <c r="J138" s="38" t="n"/>
      <c r="K138" s="38" t="n"/>
    </row>
    <row r="139">
      <c r="A139" s="50" t="inlineStr"/>
      <c r="B139" s="35" t="n"/>
      <c r="C139" s="35" t="n"/>
      <c r="D139" s="35" t="n"/>
      <c r="E139" s="36" t="n"/>
      <c r="F139" s="36" t="n"/>
      <c r="G139" s="16">
        <f>IF(AND(E139="",F139=""),"",G138+IF(E139="",0,E139)-IF(F139="",0,F139))</f>
        <v/>
      </c>
      <c r="H139" s="35" t="n"/>
      <c r="I139" s="35" t="n"/>
      <c r="J139" s="35" t="n"/>
      <c r="K139" s="35" t="n"/>
    </row>
    <row r="140">
      <c r="A140" s="51" t="inlineStr"/>
      <c r="B140" s="38" t="n"/>
      <c r="C140" s="38" t="n"/>
      <c r="D140" s="38" t="n"/>
      <c r="E140" s="39" t="n"/>
      <c r="F140" s="39" t="n"/>
      <c r="G140" s="23">
        <f>IF(AND(E140="",F140=""),"",G139+IF(E140="",0,E140)-IF(F140="",0,F140))</f>
        <v/>
      </c>
      <c r="H140" s="38" t="n"/>
      <c r="I140" s="38" t="n"/>
      <c r="J140" s="38" t="n"/>
      <c r="K140" s="38" t="n"/>
    </row>
    <row r="141">
      <c r="A141" s="50" t="inlineStr"/>
      <c r="B141" s="35" t="n"/>
      <c r="C141" s="35" t="n"/>
      <c r="D141" s="35" t="n"/>
      <c r="E141" s="36" t="n"/>
      <c r="F141" s="36" t="n"/>
      <c r="G141" s="16">
        <f>IF(AND(E141="",F141=""),"",G140+IF(E141="",0,E141)-IF(F141="",0,F141))</f>
        <v/>
      </c>
      <c r="H141" s="35" t="n"/>
      <c r="I141" s="35" t="n"/>
      <c r="J141" s="35" t="n"/>
      <c r="K141" s="35" t="n"/>
    </row>
    <row r="142">
      <c r="A142" s="51" t="inlineStr"/>
      <c r="B142" s="38" t="n"/>
      <c r="C142" s="38" t="n"/>
      <c r="D142" s="38" t="n"/>
      <c r="E142" s="39" t="n"/>
      <c r="F142" s="39" t="n"/>
      <c r="G142" s="23">
        <f>IF(AND(E142="",F142=""),"",G141+IF(E142="",0,E142)-IF(F142="",0,F142))</f>
        <v/>
      </c>
      <c r="H142" s="38" t="n"/>
      <c r="I142" s="38" t="n"/>
      <c r="J142" s="38" t="n"/>
      <c r="K142" s="38" t="n"/>
    </row>
    <row r="143">
      <c r="A143" s="50" t="inlineStr"/>
      <c r="B143" s="35" t="n"/>
      <c r="C143" s="35" t="n"/>
      <c r="D143" s="35" t="n"/>
      <c r="E143" s="36" t="n"/>
      <c r="F143" s="36" t="n"/>
      <c r="G143" s="16">
        <f>IF(AND(E143="",F143=""),"",G142+IF(E143="",0,E143)-IF(F143="",0,F143))</f>
        <v/>
      </c>
      <c r="H143" s="35" t="n"/>
      <c r="I143" s="35" t="n"/>
      <c r="J143" s="35" t="n"/>
      <c r="K143" s="35" t="n"/>
    </row>
    <row r="144">
      <c r="A144" s="51" t="inlineStr"/>
      <c r="B144" s="38" t="n"/>
      <c r="C144" s="38" t="n"/>
      <c r="D144" s="38" t="n"/>
      <c r="E144" s="39" t="n"/>
      <c r="F144" s="39" t="n"/>
      <c r="G144" s="23">
        <f>IF(AND(E144="",F144=""),"",G143+IF(E144="",0,E144)-IF(F144="",0,F144))</f>
        <v/>
      </c>
      <c r="H144" s="38" t="n"/>
      <c r="I144" s="38" t="n"/>
      <c r="J144" s="38" t="n"/>
      <c r="K144" s="38" t="n"/>
    </row>
    <row r="145">
      <c r="A145" s="50" t="inlineStr"/>
      <c r="B145" s="35" t="n"/>
      <c r="C145" s="35" t="n"/>
      <c r="D145" s="35" t="n"/>
      <c r="E145" s="36" t="n"/>
      <c r="F145" s="36" t="n"/>
      <c r="G145" s="16">
        <f>IF(AND(E145="",F145=""),"",G144+IF(E145="",0,E145)-IF(F145="",0,F145))</f>
        <v/>
      </c>
      <c r="H145" s="35" t="n"/>
      <c r="I145" s="35" t="n"/>
      <c r="J145" s="35" t="n"/>
      <c r="K145" s="35" t="n"/>
    </row>
    <row r="146">
      <c r="A146" s="51" t="inlineStr"/>
      <c r="B146" s="38" t="n"/>
      <c r="C146" s="38" t="n"/>
      <c r="D146" s="38" t="n"/>
      <c r="E146" s="39" t="n"/>
      <c r="F146" s="39" t="n"/>
      <c r="G146" s="23">
        <f>IF(AND(E146="",F146=""),"",G145+IF(E146="",0,E146)-IF(F146="",0,F146))</f>
        <v/>
      </c>
      <c r="H146" s="38" t="n"/>
      <c r="I146" s="38" t="n"/>
      <c r="J146" s="38" t="n"/>
      <c r="K146" s="38" t="n"/>
    </row>
    <row r="147">
      <c r="A147" s="50" t="inlineStr"/>
      <c r="B147" s="35" t="n"/>
      <c r="C147" s="35" t="n"/>
      <c r="D147" s="35" t="n"/>
      <c r="E147" s="36" t="n"/>
      <c r="F147" s="36" t="n"/>
      <c r="G147" s="16">
        <f>IF(AND(E147="",F147=""),"",G146+IF(E147="",0,E147)-IF(F147="",0,F147))</f>
        <v/>
      </c>
      <c r="H147" s="35" t="n"/>
      <c r="I147" s="35" t="n"/>
      <c r="J147" s="35" t="n"/>
      <c r="K147" s="35" t="n"/>
    </row>
    <row r="148">
      <c r="A148" s="51" t="inlineStr"/>
      <c r="B148" s="38" t="n"/>
      <c r="C148" s="38" t="n"/>
      <c r="D148" s="38" t="n"/>
      <c r="E148" s="39" t="n"/>
      <c r="F148" s="39" t="n"/>
      <c r="G148" s="23">
        <f>IF(AND(E148="",F148=""),"",G147+IF(E148="",0,E148)-IF(F148="",0,F148))</f>
        <v/>
      </c>
      <c r="H148" s="38" t="n"/>
      <c r="I148" s="38" t="n"/>
      <c r="J148" s="38" t="n"/>
      <c r="K148" s="38" t="n"/>
    </row>
    <row r="149">
      <c r="A149" s="50" t="inlineStr"/>
      <c r="B149" s="35" t="n"/>
      <c r="C149" s="35" t="n"/>
      <c r="D149" s="35" t="n"/>
      <c r="E149" s="36" t="n"/>
      <c r="F149" s="36" t="n"/>
      <c r="G149" s="16">
        <f>IF(AND(E149="",F149=""),"",G148+IF(E149="",0,E149)-IF(F149="",0,F149))</f>
        <v/>
      </c>
      <c r="H149" s="35" t="n"/>
      <c r="I149" s="35" t="n"/>
      <c r="J149" s="35" t="n"/>
      <c r="K149" s="35" t="n"/>
    </row>
    <row r="150">
      <c r="A150" s="51" t="inlineStr"/>
      <c r="B150" s="38" t="n"/>
      <c r="C150" s="38" t="n"/>
      <c r="D150" s="38" t="n"/>
      <c r="E150" s="39" t="n"/>
      <c r="F150" s="39" t="n"/>
      <c r="G150" s="23">
        <f>IF(AND(E150="",F150=""),"",G149+IF(E150="",0,E150)-IF(F150="",0,F150))</f>
        <v/>
      </c>
      <c r="H150" s="38" t="n"/>
      <c r="I150" s="38" t="n"/>
      <c r="J150" s="38" t="n"/>
      <c r="K150" s="38" t="n"/>
    </row>
    <row r="151">
      <c r="A151" s="50" t="inlineStr"/>
      <c r="B151" s="35" t="n"/>
      <c r="C151" s="35" t="n"/>
      <c r="D151" s="35" t="n"/>
      <c r="E151" s="36" t="n"/>
      <c r="F151" s="36" t="n"/>
      <c r="G151" s="16">
        <f>IF(AND(E151="",F151=""),"",G150+IF(E151="",0,E151)-IF(F151="",0,F151))</f>
        <v/>
      </c>
      <c r="H151" s="35" t="n"/>
      <c r="I151" s="35" t="n"/>
      <c r="J151" s="35" t="n"/>
      <c r="K151" s="35" t="n"/>
    </row>
    <row r="152">
      <c r="A152" s="51" t="inlineStr"/>
      <c r="B152" s="38" t="n"/>
      <c r="C152" s="38" t="n"/>
      <c r="D152" s="38" t="n"/>
      <c r="E152" s="39" t="n"/>
      <c r="F152" s="39" t="n"/>
      <c r="G152" s="23">
        <f>IF(AND(E152="",F152=""),"",G151+IF(E152="",0,E152)-IF(F152="",0,F152))</f>
        <v/>
      </c>
      <c r="H152" s="38" t="n"/>
      <c r="I152" s="38" t="n"/>
      <c r="J152" s="38" t="n"/>
      <c r="K152" s="38" t="n"/>
    </row>
    <row r="153">
      <c r="A153" s="50" t="inlineStr"/>
      <c r="B153" s="35" t="n"/>
      <c r="C153" s="35" t="n"/>
      <c r="D153" s="35" t="n"/>
      <c r="E153" s="36" t="n"/>
      <c r="F153" s="36" t="n"/>
      <c r="G153" s="16">
        <f>IF(AND(E153="",F153=""),"",G152+IF(E153="",0,E153)-IF(F153="",0,F153))</f>
        <v/>
      </c>
      <c r="H153" s="35" t="n"/>
      <c r="I153" s="35" t="n"/>
      <c r="J153" s="35" t="n"/>
      <c r="K153" s="35" t="n"/>
    </row>
    <row r="154">
      <c r="A154" s="51" t="inlineStr"/>
      <c r="B154" s="38" t="n"/>
      <c r="C154" s="38" t="n"/>
      <c r="D154" s="38" t="n"/>
      <c r="E154" s="39" t="n"/>
      <c r="F154" s="39" t="n"/>
      <c r="G154" s="23">
        <f>IF(AND(E154="",F154=""),"",G153+IF(E154="",0,E154)-IF(F154="",0,F154))</f>
        <v/>
      </c>
      <c r="H154" s="38" t="n"/>
      <c r="I154" s="38" t="n"/>
      <c r="J154" s="38" t="n"/>
      <c r="K154" s="38" t="n"/>
    </row>
    <row r="155">
      <c r="A155" s="50" t="inlineStr"/>
      <c r="B155" s="35" t="n"/>
      <c r="C155" s="35" t="n"/>
      <c r="D155" s="35" t="n"/>
      <c r="E155" s="36" t="n"/>
      <c r="F155" s="36" t="n"/>
      <c r="G155" s="16">
        <f>IF(AND(E155="",F155=""),"",G154+IF(E155="",0,E155)-IF(F155="",0,F155))</f>
        <v/>
      </c>
      <c r="H155" s="35" t="n"/>
      <c r="I155" s="35" t="n"/>
      <c r="J155" s="35" t="n"/>
      <c r="K155" s="35" t="n"/>
    </row>
    <row r="156">
      <c r="A156" s="51" t="inlineStr"/>
      <c r="B156" s="38" t="n"/>
      <c r="C156" s="38" t="n"/>
      <c r="D156" s="38" t="n"/>
      <c r="E156" s="39" t="n"/>
      <c r="F156" s="39" t="n"/>
      <c r="G156" s="23">
        <f>IF(AND(E156="",F156=""),"",G155+IF(E156="",0,E156)-IF(F156="",0,F156))</f>
        <v/>
      </c>
      <c r="H156" s="38" t="n"/>
      <c r="I156" s="38" t="n"/>
      <c r="J156" s="38" t="n"/>
      <c r="K156" s="38" t="n"/>
    </row>
    <row r="157">
      <c r="A157" s="50" t="inlineStr"/>
      <c r="B157" s="35" t="n"/>
      <c r="C157" s="35" t="n"/>
      <c r="D157" s="35" t="n"/>
      <c r="E157" s="36" t="n"/>
      <c r="F157" s="36" t="n"/>
      <c r="G157" s="16">
        <f>IF(AND(E157="",F157=""),"",G156+IF(E157="",0,E157)-IF(F157="",0,F157))</f>
        <v/>
      </c>
      <c r="H157" s="35" t="n"/>
      <c r="I157" s="35" t="n"/>
      <c r="J157" s="35" t="n"/>
      <c r="K157" s="35" t="n"/>
    </row>
    <row r="158">
      <c r="A158" s="51" t="inlineStr"/>
      <c r="B158" s="38" t="n"/>
      <c r="C158" s="38" t="n"/>
      <c r="D158" s="38" t="n"/>
      <c r="E158" s="39" t="n"/>
      <c r="F158" s="39" t="n"/>
      <c r="G158" s="23">
        <f>IF(AND(E158="",F158=""),"",G157+IF(E158="",0,E158)-IF(F158="",0,F158))</f>
        <v/>
      </c>
      <c r="H158" s="38" t="n"/>
      <c r="I158" s="38" t="n"/>
      <c r="J158" s="38" t="n"/>
      <c r="K158" s="38" t="n"/>
    </row>
    <row r="159">
      <c r="A159" s="50" t="inlineStr"/>
      <c r="B159" s="35" t="n"/>
      <c r="C159" s="35" t="n"/>
      <c r="D159" s="35" t="n"/>
      <c r="E159" s="36" t="n"/>
      <c r="F159" s="36" t="n"/>
      <c r="G159" s="16">
        <f>IF(AND(E159="",F159=""),"",G158+IF(E159="",0,E159)-IF(F159="",0,F159))</f>
        <v/>
      </c>
      <c r="H159" s="35" t="n"/>
      <c r="I159" s="35" t="n"/>
      <c r="J159" s="35" t="n"/>
      <c r="K159" s="35" t="n"/>
    </row>
    <row r="160">
      <c r="A160" s="51" t="inlineStr"/>
      <c r="B160" s="38" t="n"/>
      <c r="C160" s="38" t="n"/>
      <c r="D160" s="38" t="n"/>
      <c r="E160" s="39" t="n"/>
      <c r="F160" s="39" t="n"/>
      <c r="G160" s="23">
        <f>IF(AND(E160="",F160=""),"",G159+IF(E160="",0,E160)-IF(F160="",0,F160))</f>
        <v/>
      </c>
      <c r="H160" s="38" t="n"/>
      <c r="I160" s="38" t="n"/>
      <c r="J160" s="38" t="n"/>
      <c r="K160" s="38" t="n"/>
    </row>
    <row r="161">
      <c r="A161" s="50" t="inlineStr"/>
      <c r="B161" s="35" t="n"/>
      <c r="C161" s="35" t="n"/>
      <c r="D161" s="35" t="n"/>
      <c r="E161" s="36" t="n"/>
      <c r="F161" s="36" t="n"/>
      <c r="G161" s="16">
        <f>IF(AND(E161="",F161=""),"",G160+IF(E161="",0,E161)-IF(F161="",0,F161))</f>
        <v/>
      </c>
      <c r="H161" s="35" t="n"/>
      <c r="I161" s="35" t="n"/>
      <c r="J161" s="35" t="n"/>
      <c r="K161" s="35" t="n"/>
    </row>
    <row r="162">
      <c r="A162" s="51" t="inlineStr"/>
      <c r="B162" s="38" t="n"/>
      <c r="C162" s="38" t="n"/>
      <c r="D162" s="38" t="n"/>
      <c r="E162" s="39" t="n"/>
      <c r="F162" s="39" t="n"/>
      <c r="G162" s="23">
        <f>IF(AND(E162="",F162=""),"",G161+IF(E162="",0,E162)-IF(F162="",0,F162))</f>
        <v/>
      </c>
      <c r="H162" s="38" t="n"/>
      <c r="I162" s="38" t="n"/>
      <c r="J162" s="38" t="n"/>
      <c r="K162" s="38" t="n"/>
    </row>
    <row r="163">
      <c r="A163" s="50" t="inlineStr"/>
      <c r="B163" s="35" t="n"/>
      <c r="C163" s="35" t="n"/>
      <c r="D163" s="35" t="n"/>
      <c r="E163" s="36" t="n"/>
      <c r="F163" s="36" t="n"/>
      <c r="G163" s="16">
        <f>IF(AND(E163="",F163=""),"",G162+IF(E163="",0,E163)-IF(F163="",0,F163))</f>
        <v/>
      </c>
      <c r="H163" s="35" t="n"/>
      <c r="I163" s="35" t="n"/>
      <c r="J163" s="35" t="n"/>
      <c r="K163" s="35" t="n"/>
    </row>
    <row r="164">
      <c r="A164" s="51" t="inlineStr"/>
      <c r="B164" s="38" t="n"/>
      <c r="C164" s="38" t="n"/>
      <c r="D164" s="38" t="n"/>
      <c r="E164" s="39" t="n"/>
      <c r="F164" s="39" t="n"/>
      <c r="G164" s="23">
        <f>IF(AND(E164="",F164=""),"",G163+IF(E164="",0,E164)-IF(F164="",0,F164))</f>
        <v/>
      </c>
      <c r="H164" s="38" t="n"/>
      <c r="I164" s="38" t="n"/>
      <c r="J164" s="38" t="n"/>
      <c r="K164" s="38" t="n"/>
    </row>
    <row r="165">
      <c r="A165" s="50" t="inlineStr"/>
      <c r="B165" s="35" t="n"/>
      <c r="C165" s="35" t="n"/>
      <c r="D165" s="35" t="n"/>
      <c r="E165" s="36" t="n"/>
      <c r="F165" s="36" t="n"/>
      <c r="G165" s="16">
        <f>IF(AND(E165="",F165=""),"",G164+IF(E165="",0,E165)-IF(F165="",0,F165))</f>
        <v/>
      </c>
      <c r="H165" s="35" t="n"/>
      <c r="I165" s="35" t="n"/>
      <c r="J165" s="35" t="n"/>
      <c r="K165" s="35" t="n"/>
    </row>
    <row r="166">
      <c r="A166" s="51" t="inlineStr"/>
      <c r="B166" s="38" t="n"/>
      <c r="C166" s="38" t="n"/>
      <c r="D166" s="38" t="n"/>
      <c r="E166" s="39" t="n"/>
      <c r="F166" s="39" t="n"/>
      <c r="G166" s="23">
        <f>IF(AND(E166="",F166=""),"",G165+IF(E166="",0,E166)-IF(F166="",0,F166))</f>
        <v/>
      </c>
      <c r="H166" s="38" t="n"/>
      <c r="I166" s="38" t="n"/>
      <c r="J166" s="38" t="n"/>
      <c r="K166" s="38" t="n"/>
    </row>
    <row r="167">
      <c r="A167" s="50" t="inlineStr"/>
      <c r="B167" s="35" t="n"/>
      <c r="C167" s="35" t="n"/>
      <c r="D167" s="35" t="n"/>
      <c r="E167" s="36" t="n"/>
      <c r="F167" s="36" t="n"/>
      <c r="G167" s="16">
        <f>IF(AND(E167="",F167=""),"",G166+IF(E167="",0,E167)-IF(F167="",0,F167))</f>
        <v/>
      </c>
      <c r="H167" s="35" t="n"/>
      <c r="I167" s="35" t="n"/>
      <c r="J167" s="35" t="n"/>
      <c r="K167" s="35" t="n"/>
    </row>
    <row r="168">
      <c r="A168" s="51" t="inlineStr"/>
      <c r="B168" s="38" t="n"/>
      <c r="C168" s="38" t="n"/>
      <c r="D168" s="38" t="n"/>
      <c r="E168" s="39" t="n"/>
      <c r="F168" s="39" t="n"/>
      <c r="G168" s="23">
        <f>IF(AND(E168="",F168=""),"",G167+IF(E168="",0,E168)-IF(F168="",0,F168))</f>
        <v/>
      </c>
      <c r="H168" s="38" t="n"/>
      <c r="I168" s="38" t="n"/>
      <c r="J168" s="38" t="n"/>
      <c r="K168" s="38" t="n"/>
    </row>
    <row r="169">
      <c r="A169" s="50" t="inlineStr"/>
      <c r="B169" s="35" t="n"/>
      <c r="C169" s="35" t="n"/>
      <c r="D169" s="35" t="n"/>
      <c r="E169" s="36" t="n"/>
      <c r="F169" s="36" t="n"/>
      <c r="G169" s="16">
        <f>IF(AND(E169="",F169=""),"",G168+IF(E169="",0,E169)-IF(F169="",0,F169))</f>
        <v/>
      </c>
      <c r="H169" s="35" t="n"/>
      <c r="I169" s="35" t="n"/>
      <c r="J169" s="35" t="n"/>
      <c r="K169" s="35" t="n"/>
    </row>
    <row r="170">
      <c r="A170" s="51" t="inlineStr"/>
      <c r="B170" s="38" t="n"/>
      <c r="C170" s="38" t="n"/>
      <c r="D170" s="38" t="n"/>
      <c r="E170" s="39" t="n"/>
      <c r="F170" s="39" t="n"/>
      <c r="G170" s="23">
        <f>IF(AND(E170="",F170=""),"",G169+IF(E170="",0,E170)-IF(F170="",0,F170))</f>
        <v/>
      </c>
      <c r="H170" s="38" t="n"/>
      <c r="I170" s="38" t="n"/>
      <c r="J170" s="38" t="n"/>
      <c r="K170" s="38" t="n"/>
    </row>
    <row r="171">
      <c r="A171" s="50" t="inlineStr"/>
      <c r="B171" s="35" t="n"/>
      <c r="C171" s="35" t="n"/>
      <c r="D171" s="35" t="n"/>
      <c r="E171" s="36" t="n"/>
      <c r="F171" s="36" t="n"/>
      <c r="G171" s="16">
        <f>IF(AND(E171="",F171=""),"",G170+IF(E171="",0,E171)-IF(F171="",0,F171))</f>
        <v/>
      </c>
      <c r="H171" s="35" t="n"/>
      <c r="I171" s="35" t="n"/>
      <c r="J171" s="35" t="n"/>
      <c r="K171" s="35" t="n"/>
    </row>
    <row r="172">
      <c r="A172" s="51" t="inlineStr"/>
      <c r="B172" s="38" t="n"/>
      <c r="C172" s="38" t="n"/>
      <c r="D172" s="38" t="n"/>
      <c r="E172" s="39" t="n"/>
      <c r="F172" s="39" t="n"/>
      <c r="G172" s="23">
        <f>IF(AND(E172="",F172=""),"",G171+IF(E172="",0,E172)-IF(F172="",0,F172))</f>
        <v/>
      </c>
      <c r="H172" s="38" t="n"/>
      <c r="I172" s="38" t="n"/>
      <c r="J172" s="38" t="n"/>
      <c r="K172" s="38" t="n"/>
    </row>
    <row r="173">
      <c r="A173" s="50" t="inlineStr"/>
      <c r="B173" s="35" t="n"/>
      <c r="C173" s="35" t="n"/>
      <c r="D173" s="35" t="n"/>
      <c r="E173" s="36" t="n"/>
      <c r="F173" s="36" t="n"/>
      <c r="G173" s="16">
        <f>IF(AND(E173="",F173=""),"",G172+IF(E173="",0,E173)-IF(F173="",0,F173))</f>
        <v/>
      </c>
      <c r="H173" s="35" t="n"/>
      <c r="I173" s="35" t="n"/>
      <c r="J173" s="35" t="n"/>
      <c r="K173" s="35" t="n"/>
    </row>
    <row r="174">
      <c r="A174" s="51" t="inlineStr"/>
      <c r="B174" s="38" t="n"/>
      <c r="C174" s="38" t="n"/>
      <c r="D174" s="38" t="n"/>
      <c r="E174" s="39" t="n"/>
      <c r="F174" s="39" t="n"/>
      <c r="G174" s="23">
        <f>IF(AND(E174="",F174=""),"",G173+IF(E174="",0,E174)-IF(F174="",0,F174))</f>
        <v/>
      </c>
      <c r="H174" s="38" t="n"/>
      <c r="I174" s="38" t="n"/>
      <c r="J174" s="38" t="n"/>
      <c r="K174" s="38" t="n"/>
    </row>
    <row r="175">
      <c r="A175" s="50" t="inlineStr"/>
      <c r="B175" s="35" t="n"/>
      <c r="C175" s="35" t="n"/>
      <c r="D175" s="35" t="n"/>
      <c r="E175" s="36" t="n"/>
      <c r="F175" s="36" t="n"/>
      <c r="G175" s="16">
        <f>IF(AND(E175="",F175=""),"",G174+IF(E175="",0,E175)-IF(F175="",0,F175))</f>
        <v/>
      </c>
      <c r="H175" s="35" t="n"/>
      <c r="I175" s="35" t="n"/>
      <c r="J175" s="35" t="n"/>
      <c r="K175" s="35" t="n"/>
    </row>
    <row r="176">
      <c r="A176" s="51" t="inlineStr"/>
      <c r="B176" s="38" t="n"/>
      <c r="C176" s="38" t="n"/>
      <c r="D176" s="38" t="n"/>
      <c r="E176" s="39" t="n"/>
      <c r="F176" s="39" t="n"/>
      <c r="G176" s="23">
        <f>IF(AND(E176="",F176=""),"",G175+IF(E176="",0,E176)-IF(F176="",0,F176))</f>
        <v/>
      </c>
      <c r="H176" s="38" t="n"/>
      <c r="I176" s="38" t="n"/>
      <c r="J176" s="38" t="n"/>
      <c r="K176" s="38" t="n"/>
    </row>
    <row r="177">
      <c r="A177" s="50" t="inlineStr"/>
      <c r="B177" s="35" t="n"/>
      <c r="C177" s="35" t="n"/>
      <c r="D177" s="35" t="n"/>
      <c r="E177" s="36" t="n"/>
      <c r="F177" s="36" t="n"/>
      <c r="G177" s="16">
        <f>IF(AND(E177="",F177=""),"",G176+IF(E177="",0,E177)-IF(F177="",0,F177))</f>
        <v/>
      </c>
      <c r="H177" s="35" t="n"/>
      <c r="I177" s="35" t="n"/>
      <c r="J177" s="35" t="n"/>
      <c r="K177" s="35" t="n"/>
    </row>
    <row r="178">
      <c r="A178" s="51" t="inlineStr"/>
      <c r="B178" s="38" t="n"/>
      <c r="C178" s="38" t="n"/>
      <c r="D178" s="38" t="n"/>
      <c r="E178" s="39" t="n"/>
      <c r="F178" s="39" t="n"/>
      <c r="G178" s="23">
        <f>IF(AND(E178="",F178=""),"",G177+IF(E178="",0,E178)-IF(F178="",0,F178))</f>
        <v/>
      </c>
      <c r="H178" s="38" t="n"/>
      <c r="I178" s="38" t="n"/>
      <c r="J178" s="38" t="n"/>
      <c r="K178" s="38" t="n"/>
    </row>
    <row r="179">
      <c r="A179" s="50" t="inlineStr"/>
      <c r="B179" s="35" t="n"/>
      <c r="C179" s="35" t="n"/>
      <c r="D179" s="35" t="n"/>
      <c r="E179" s="36" t="n"/>
      <c r="F179" s="36" t="n"/>
      <c r="G179" s="16">
        <f>IF(AND(E179="",F179=""),"",G178+IF(E179="",0,E179)-IF(F179="",0,F179))</f>
        <v/>
      </c>
      <c r="H179" s="35" t="n"/>
      <c r="I179" s="35" t="n"/>
      <c r="J179" s="35" t="n"/>
      <c r="K179" s="35" t="n"/>
    </row>
    <row r="180">
      <c r="A180" s="51" t="inlineStr"/>
      <c r="B180" s="38" t="n"/>
      <c r="C180" s="38" t="n"/>
      <c r="D180" s="38" t="n"/>
      <c r="E180" s="39" t="n"/>
      <c r="F180" s="39" t="n"/>
      <c r="G180" s="23">
        <f>IF(AND(E180="",F180=""),"",G179+IF(E180="",0,E180)-IF(F180="",0,F180))</f>
        <v/>
      </c>
      <c r="H180" s="38" t="n"/>
      <c r="I180" s="38" t="n"/>
      <c r="J180" s="38" t="n"/>
      <c r="K180" s="38" t="n"/>
    </row>
    <row r="181">
      <c r="A181" s="50" t="inlineStr"/>
      <c r="B181" s="35" t="n"/>
      <c r="C181" s="35" t="n"/>
      <c r="D181" s="35" t="n"/>
      <c r="E181" s="36" t="n"/>
      <c r="F181" s="36" t="n"/>
      <c r="G181" s="16">
        <f>IF(AND(E181="",F181=""),"",G180+IF(E181="",0,E181)-IF(F181="",0,F181))</f>
        <v/>
      </c>
      <c r="H181" s="35" t="n"/>
      <c r="I181" s="35" t="n"/>
      <c r="J181" s="35" t="n"/>
      <c r="K181" s="35" t="n"/>
    </row>
    <row r="182">
      <c r="A182" s="51" t="inlineStr"/>
      <c r="B182" s="38" t="n"/>
      <c r="C182" s="38" t="n"/>
      <c r="D182" s="38" t="n"/>
      <c r="E182" s="39" t="n"/>
      <c r="F182" s="39" t="n"/>
      <c r="G182" s="23">
        <f>IF(AND(E182="",F182=""),"",G181+IF(E182="",0,E182)-IF(F182="",0,F182))</f>
        <v/>
      </c>
      <c r="H182" s="38" t="n"/>
      <c r="I182" s="38" t="n"/>
      <c r="J182" s="38" t="n"/>
      <c r="K182" s="38" t="n"/>
    </row>
    <row r="183">
      <c r="A183" s="50" t="inlineStr"/>
      <c r="B183" s="35" t="n"/>
      <c r="C183" s="35" t="n"/>
      <c r="D183" s="35" t="n"/>
      <c r="E183" s="36" t="n"/>
      <c r="F183" s="36" t="n"/>
      <c r="G183" s="16">
        <f>IF(AND(E183="",F183=""),"",G182+IF(E183="",0,E183)-IF(F183="",0,F183))</f>
        <v/>
      </c>
      <c r="H183" s="35" t="n"/>
      <c r="I183" s="35" t="n"/>
      <c r="J183" s="35" t="n"/>
      <c r="K183" s="35" t="n"/>
    </row>
    <row r="184">
      <c r="A184" s="51" t="inlineStr"/>
      <c r="B184" s="38" t="n"/>
      <c r="C184" s="38" t="n"/>
      <c r="D184" s="38" t="n"/>
      <c r="E184" s="39" t="n"/>
      <c r="F184" s="39" t="n"/>
      <c r="G184" s="23">
        <f>IF(AND(E184="",F184=""),"",G183+IF(E184="",0,E184)-IF(F184="",0,F184))</f>
        <v/>
      </c>
      <c r="H184" s="38" t="n"/>
      <c r="I184" s="38" t="n"/>
      <c r="J184" s="38" t="n"/>
      <c r="K184" s="38" t="n"/>
    </row>
    <row r="185">
      <c r="A185" s="50" t="inlineStr"/>
      <c r="B185" s="35" t="n"/>
      <c r="C185" s="35" t="n"/>
      <c r="D185" s="35" t="n"/>
      <c r="E185" s="36" t="n"/>
      <c r="F185" s="36" t="n"/>
      <c r="G185" s="16">
        <f>IF(AND(E185="",F185=""),"",G184+IF(E185="",0,E185)-IF(F185="",0,F185))</f>
        <v/>
      </c>
      <c r="H185" s="35" t="n"/>
      <c r="I185" s="35" t="n"/>
      <c r="J185" s="35" t="n"/>
      <c r="K185" s="35" t="n"/>
    </row>
    <row r="186">
      <c r="A186" s="51" t="inlineStr"/>
      <c r="B186" s="38" t="n"/>
      <c r="C186" s="38" t="n"/>
      <c r="D186" s="38" t="n"/>
      <c r="E186" s="39" t="n"/>
      <c r="F186" s="39" t="n"/>
      <c r="G186" s="23">
        <f>IF(AND(E186="",F186=""),"",G185+IF(E186="",0,E186)-IF(F186="",0,F186))</f>
        <v/>
      </c>
      <c r="H186" s="38" t="n"/>
      <c r="I186" s="38" t="n"/>
      <c r="J186" s="38" t="n"/>
      <c r="K186" s="38" t="n"/>
    </row>
    <row r="187">
      <c r="A187" s="50" t="inlineStr"/>
      <c r="B187" s="35" t="n"/>
      <c r="C187" s="35" t="n"/>
      <c r="D187" s="35" t="n"/>
      <c r="E187" s="36" t="n"/>
      <c r="F187" s="36" t="n"/>
      <c r="G187" s="16">
        <f>IF(AND(E187="",F187=""),"",G186+IF(E187="",0,E187)-IF(F187="",0,F187))</f>
        <v/>
      </c>
      <c r="H187" s="35" t="n"/>
      <c r="I187" s="35" t="n"/>
      <c r="J187" s="35" t="n"/>
      <c r="K187" s="35" t="n"/>
    </row>
    <row r="188">
      <c r="A188" s="51" t="inlineStr"/>
      <c r="B188" s="38" t="n"/>
      <c r="C188" s="38" t="n"/>
      <c r="D188" s="38" t="n"/>
      <c r="E188" s="39" t="n"/>
      <c r="F188" s="39" t="n"/>
      <c r="G188" s="23">
        <f>IF(AND(E188="",F188=""),"",G187+IF(E188="",0,E188)-IF(F188="",0,F188))</f>
        <v/>
      </c>
      <c r="H188" s="38" t="n"/>
      <c r="I188" s="38" t="n"/>
      <c r="J188" s="38" t="n"/>
      <c r="K188" s="38" t="n"/>
    </row>
    <row r="189">
      <c r="A189" s="50" t="inlineStr"/>
      <c r="B189" s="35" t="n"/>
      <c r="C189" s="35" t="n"/>
      <c r="D189" s="35" t="n"/>
      <c r="E189" s="36" t="n"/>
      <c r="F189" s="36" t="n"/>
      <c r="G189" s="16">
        <f>IF(AND(E189="",F189=""),"",G188+IF(E189="",0,E189)-IF(F189="",0,F189))</f>
        <v/>
      </c>
      <c r="H189" s="35" t="n"/>
      <c r="I189" s="35" t="n"/>
      <c r="J189" s="35" t="n"/>
      <c r="K189" s="35" t="n"/>
    </row>
    <row r="190">
      <c r="A190" s="51" t="inlineStr"/>
      <c r="B190" s="38" t="n"/>
      <c r="C190" s="38" t="n"/>
      <c r="D190" s="38" t="n"/>
      <c r="E190" s="39" t="n"/>
      <c r="F190" s="39" t="n"/>
      <c r="G190" s="23">
        <f>IF(AND(E190="",F190=""),"",G189+IF(E190="",0,E190)-IF(F190="",0,F190))</f>
        <v/>
      </c>
      <c r="H190" s="38" t="n"/>
      <c r="I190" s="38" t="n"/>
      <c r="J190" s="38" t="n"/>
      <c r="K190" s="38" t="n"/>
    </row>
    <row r="191">
      <c r="A191" s="50" t="inlineStr"/>
      <c r="B191" s="35" t="n"/>
      <c r="C191" s="35" t="n"/>
      <c r="D191" s="35" t="n"/>
      <c r="E191" s="36" t="n"/>
      <c r="F191" s="36" t="n"/>
      <c r="G191" s="16">
        <f>IF(AND(E191="",F191=""),"",G190+IF(E191="",0,E191)-IF(F191="",0,F191))</f>
        <v/>
      </c>
      <c r="H191" s="35" t="n"/>
      <c r="I191" s="35" t="n"/>
      <c r="J191" s="35" t="n"/>
      <c r="K191" s="35" t="n"/>
    </row>
    <row r="192">
      <c r="A192" s="51" t="inlineStr"/>
      <c r="B192" s="38" t="n"/>
      <c r="C192" s="38" t="n"/>
      <c r="D192" s="38" t="n"/>
      <c r="E192" s="39" t="n"/>
      <c r="F192" s="39" t="n"/>
      <c r="G192" s="23">
        <f>IF(AND(E192="",F192=""),"",G191+IF(E192="",0,E192)-IF(F192="",0,F192))</f>
        <v/>
      </c>
      <c r="H192" s="38" t="n"/>
      <c r="I192" s="38" t="n"/>
      <c r="J192" s="38" t="n"/>
      <c r="K192" s="38" t="n"/>
    </row>
    <row r="193">
      <c r="A193" s="50" t="inlineStr"/>
      <c r="B193" s="35" t="n"/>
      <c r="C193" s="35" t="n"/>
      <c r="D193" s="35" t="n"/>
      <c r="E193" s="36" t="n"/>
      <c r="F193" s="36" t="n"/>
      <c r="G193" s="16">
        <f>IF(AND(E193="",F193=""),"",G192+IF(E193="",0,E193)-IF(F193="",0,F193))</f>
        <v/>
      </c>
      <c r="H193" s="35" t="n"/>
      <c r="I193" s="35" t="n"/>
      <c r="J193" s="35" t="n"/>
      <c r="K193" s="35" t="n"/>
    </row>
    <row r="194">
      <c r="A194" s="51" t="inlineStr"/>
      <c r="B194" s="38" t="n"/>
      <c r="C194" s="38" t="n"/>
      <c r="D194" s="38" t="n"/>
      <c r="E194" s="39" t="n"/>
      <c r="F194" s="39" t="n"/>
      <c r="G194" s="23">
        <f>IF(AND(E194="",F194=""),"",G193+IF(E194="",0,E194)-IF(F194="",0,F194))</f>
        <v/>
      </c>
      <c r="H194" s="38" t="n"/>
      <c r="I194" s="38" t="n"/>
      <c r="J194" s="38" t="n"/>
      <c r="K194" s="38" t="n"/>
    </row>
    <row r="195">
      <c r="A195" s="50" t="inlineStr"/>
      <c r="B195" s="35" t="n"/>
      <c r="C195" s="35" t="n"/>
      <c r="D195" s="35" t="n"/>
      <c r="E195" s="36" t="n"/>
      <c r="F195" s="36" t="n"/>
      <c r="G195" s="16">
        <f>IF(AND(E195="",F195=""),"",G194+IF(E195="",0,E195)-IF(F195="",0,F195))</f>
        <v/>
      </c>
      <c r="H195" s="35" t="n"/>
      <c r="I195" s="35" t="n"/>
      <c r="J195" s="35" t="n"/>
      <c r="K195" s="35" t="n"/>
    </row>
    <row r="196">
      <c r="A196" s="51" t="inlineStr"/>
      <c r="B196" s="38" t="n"/>
      <c r="C196" s="38" t="n"/>
      <c r="D196" s="38" t="n"/>
      <c r="E196" s="39" t="n"/>
      <c r="F196" s="39" t="n"/>
      <c r="G196" s="23">
        <f>IF(AND(E196="",F196=""),"",G195+IF(E196="",0,E196)-IF(F196="",0,F196))</f>
        <v/>
      </c>
      <c r="H196" s="38" t="n"/>
      <c r="I196" s="38" t="n"/>
      <c r="J196" s="38" t="n"/>
      <c r="K196" s="38" t="n"/>
    </row>
    <row r="197">
      <c r="A197" s="50" t="inlineStr"/>
      <c r="B197" s="35" t="n"/>
      <c r="C197" s="35" t="n"/>
      <c r="D197" s="35" t="n"/>
      <c r="E197" s="36" t="n"/>
      <c r="F197" s="36" t="n"/>
      <c r="G197" s="16">
        <f>IF(AND(E197="",F197=""),"",G196+IF(E197="",0,E197)-IF(F197="",0,F197))</f>
        <v/>
      </c>
      <c r="H197" s="35" t="n"/>
      <c r="I197" s="35" t="n"/>
      <c r="J197" s="35" t="n"/>
      <c r="K197" s="35" t="n"/>
    </row>
    <row r="198">
      <c r="A198" s="51" t="inlineStr"/>
      <c r="B198" s="38" t="n"/>
      <c r="C198" s="38" t="n"/>
      <c r="D198" s="38" t="n"/>
      <c r="E198" s="39" t="n"/>
      <c r="F198" s="39" t="n"/>
      <c r="G198" s="23">
        <f>IF(AND(E198="",F198=""),"",G197+IF(E198="",0,E198)-IF(F198="",0,F198))</f>
        <v/>
      </c>
      <c r="H198" s="38" t="n"/>
      <c r="I198" s="38" t="n"/>
      <c r="J198" s="38" t="n"/>
      <c r="K198" s="38" t="n"/>
    </row>
    <row r="199">
      <c r="A199" s="50" t="inlineStr"/>
      <c r="B199" s="35" t="n"/>
      <c r="C199" s="35" t="n"/>
      <c r="D199" s="35" t="n"/>
      <c r="E199" s="36" t="n"/>
      <c r="F199" s="36" t="n"/>
      <c r="G199" s="16">
        <f>IF(AND(E199="",F199=""),"",G198+IF(E199="",0,E199)-IF(F199="",0,F199))</f>
        <v/>
      </c>
      <c r="H199" s="35" t="n"/>
      <c r="I199" s="35" t="n"/>
      <c r="J199" s="35" t="n"/>
      <c r="K199" s="35" t="n"/>
    </row>
    <row r="200">
      <c r="A200" s="51" t="inlineStr"/>
      <c r="B200" s="38" t="n"/>
      <c r="C200" s="38" t="n"/>
      <c r="D200" s="38" t="n"/>
      <c r="E200" s="39" t="n"/>
      <c r="F200" s="39" t="n"/>
      <c r="G200" s="23">
        <f>IF(AND(E200="",F200=""),"",G199+IF(E200="",0,E200)-IF(F200="",0,F200))</f>
        <v/>
      </c>
      <c r="H200" s="38" t="n"/>
      <c r="I200" s="38" t="n"/>
      <c r="J200" s="38" t="n"/>
      <c r="K200" s="38" t="n"/>
    </row>
    <row r="201">
      <c r="A201" s="50" t="inlineStr"/>
      <c r="B201" s="35" t="n"/>
      <c r="C201" s="35" t="n"/>
      <c r="D201" s="35" t="n"/>
      <c r="E201" s="36" t="n"/>
      <c r="F201" s="36" t="n"/>
      <c r="G201" s="16">
        <f>IF(AND(E201="",F201=""),"",G200+IF(E201="",0,E201)-IF(F201="",0,F201))</f>
        <v/>
      </c>
      <c r="H201" s="35" t="n"/>
      <c r="I201" s="35" t="n"/>
      <c r="J201" s="35" t="n"/>
      <c r="K201" s="35" t="n"/>
    </row>
    <row r="202">
      <c r="A202" s="51" t="inlineStr"/>
      <c r="B202" s="38" t="n"/>
      <c r="C202" s="38" t="n"/>
      <c r="D202" s="38" t="n"/>
      <c r="E202" s="39" t="n"/>
      <c r="F202" s="39" t="n"/>
      <c r="G202" s="23">
        <f>IF(AND(E202="",F202=""),"",G201+IF(E202="",0,E202)-IF(F202="",0,F202))</f>
        <v/>
      </c>
      <c r="H202" s="38" t="n"/>
      <c r="I202" s="38" t="n"/>
      <c r="J202" s="38" t="n"/>
      <c r="K202" s="38" t="n"/>
    </row>
    <row r="203">
      <c r="A203" s="50" t="inlineStr"/>
      <c r="B203" s="35" t="n"/>
      <c r="C203" s="35" t="n"/>
      <c r="D203" s="35" t="n"/>
      <c r="E203" s="36" t="n"/>
      <c r="F203" s="36" t="n"/>
      <c r="G203" s="16">
        <f>IF(AND(E203="",F203=""),"",G202+IF(E203="",0,E203)-IF(F203="",0,F203))</f>
        <v/>
      </c>
      <c r="H203" s="35" t="n"/>
      <c r="I203" s="35" t="n"/>
      <c r="J203" s="35" t="n"/>
      <c r="K203" s="35" t="n"/>
    </row>
    <row r="204">
      <c r="A204" s="51" t="inlineStr"/>
      <c r="B204" s="38" t="n"/>
      <c r="C204" s="38" t="n"/>
      <c r="D204" s="38" t="n"/>
      <c r="E204" s="39" t="n"/>
      <c r="F204" s="39" t="n"/>
      <c r="G204" s="23">
        <f>IF(AND(E204="",F204=""),"",G203+IF(E204="",0,E204)-IF(F204="",0,F204))</f>
        <v/>
      </c>
      <c r="H204" s="38" t="n"/>
      <c r="I204" s="38" t="n"/>
      <c r="J204" s="38" t="n"/>
      <c r="K204" s="38" t="n"/>
    </row>
    <row r="205">
      <c r="A205" s="50" t="inlineStr"/>
      <c r="B205" s="35" t="n"/>
      <c r="C205" s="35" t="n"/>
      <c r="D205" s="35" t="n"/>
      <c r="E205" s="36" t="n"/>
      <c r="F205" s="36" t="n"/>
      <c r="G205" s="16">
        <f>IF(AND(E205="",F205=""),"",G204+IF(E205="",0,E205)-IF(F205="",0,F205))</f>
        <v/>
      </c>
      <c r="H205" s="35" t="n"/>
      <c r="I205" s="35" t="n"/>
      <c r="J205" s="35" t="n"/>
      <c r="K205" s="35" t="n"/>
    </row>
    <row r="206">
      <c r="A206" s="51" t="inlineStr"/>
      <c r="B206" s="38" t="n"/>
      <c r="C206" s="38" t="n"/>
      <c r="D206" s="38" t="n"/>
      <c r="E206" s="39" t="n"/>
      <c r="F206" s="39" t="n"/>
      <c r="G206" s="23">
        <f>IF(AND(E206="",F206=""),"",G205+IF(E206="",0,E206)-IF(F206="",0,F206))</f>
        <v/>
      </c>
      <c r="H206" s="38" t="n"/>
      <c r="I206" s="38" t="n"/>
      <c r="J206" s="38" t="n"/>
      <c r="K206" s="38" t="n"/>
    </row>
  </sheetData>
  <mergeCells count="6">
    <mergeCell ref="A4:B4"/>
    <mergeCell ref="G4:H4"/>
    <mergeCell ref="J4:K4"/>
    <mergeCell ref="A2:K2"/>
    <mergeCell ref="D4:E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4" customWidth="1" min="3" max="3"/>
    <col width="20" customWidth="1" min="4" max="4"/>
    <col width="15" customWidth="1" min="5" max="5"/>
    <col width="10" customWidth="1" min="6" max="6"/>
  </cols>
  <sheetData>
    <row r="1" ht="28" customHeight="1">
      <c r="A1" s="40" t="inlineStr">
        <is>
          <t>AEROSAN — CONFIGURACIÓN DE VEHÍCULOS Y GRÚAS</t>
        </is>
      </c>
    </row>
    <row r="3">
      <c r="A3" s="41" t="inlineStr">
        <is>
          <t>VEHÍCULOS / TRACTORES (Consumen combustible)</t>
        </is>
      </c>
    </row>
    <row r="4">
      <c r="A4" s="3" t="inlineStr">
        <is>
          <t>N°</t>
        </is>
      </c>
      <c r="B4" s="3" t="inlineStr">
        <is>
          <t>NOMBRE/DESCRIPCIÓN</t>
        </is>
      </c>
      <c r="C4" s="3" t="inlineStr">
        <is>
          <t>PATENTE</t>
        </is>
      </c>
      <c r="D4" s="3" t="inlineStr">
        <is>
          <t>TIPO</t>
        </is>
      </c>
      <c r="E4" s="3" t="inlineStr">
        <is>
          <t>TIPO COMBUSTIBLE</t>
        </is>
      </c>
      <c r="F4" s="3" t="inlineStr">
        <is>
          <t>ACTIVO</t>
        </is>
      </c>
    </row>
    <row r="5">
      <c r="A5" s="19" t="n">
        <v>1</v>
      </c>
      <c r="B5" s="35" t="inlineStr">
        <is>
          <t>Vehículo 1</t>
        </is>
      </c>
      <c r="C5" s="35" t="inlineStr">
        <is>
          <t>XXX-XXX</t>
        </is>
      </c>
      <c r="D5" s="35" t="inlineStr">
        <is>
          <t>Tractor/Camioneta</t>
        </is>
      </c>
      <c r="E5" s="35" t="inlineStr">
        <is>
          <t>Diesel</t>
        </is>
      </c>
      <c r="F5" s="19" t="inlineStr">
        <is>
          <t>Sí</t>
        </is>
      </c>
    </row>
    <row r="6">
      <c r="A6" s="19" t="n">
        <v>2</v>
      </c>
      <c r="B6" s="35" t="inlineStr">
        <is>
          <t>Vehículo 2</t>
        </is>
      </c>
      <c r="C6" s="35" t="inlineStr">
        <is>
          <t>XXX-XXX</t>
        </is>
      </c>
      <c r="D6" s="35" t="inlineStr">
        <is>
          <t>Tractor/Camioneta</t>
        </is>
      </c>
      <c r="E6" s="35" t="inlineStr">
        <is>
          <t>Diesel</t>
        </is>
      </c>
      <c r="F6" s="19" t="inlineStr">
        <is>
          <t>Sí</t>
        </is>
      </c>
    </row>
    <row r="7">
      <c r="A7" s="19" t="n">
        <v>3</v>
      </c>
      <c r="B7" s="35" t="inlineStr">
        <is>
          <t>Vehículo 3</t>
        </is>
      </c>
      <c r="C7" s="35" t="inlineStr">
        <is>
          <t>XXX-XXX</t>
        </is>
      </c>
      <c r="D7" s="35" t="inlineStr">
        <is>
          <t>Tractor/Camioneta</t>
        </is>
      </c>
      <c r="E7" s="35" t="inlineStr">
        <is>
          <t>Diesel</t>
        </is>
      </c>
      <c r="F7" s="19" t="inlineStr">
        <is>
          <t>Sí</t>
        </is>
      </c>
    </row>
    <row r="8">
      <c r="A8" s="19" t="n">
        <v>4</v>
      </c>
      <c r="B8" s="35" t="inlineStr">
        <is>
          <t>Vehículo 4</t>
        </is>
      </c>
      <c r="C8" s="35" t="inlineStr">
        <is>
          <t>XXX-XXX</t>
        </is>
      </c>
      <c r="D8" s="35" t="inlineStr">
        <is>
          <t>Tractor/Camioneta</t>
        </is>
      </c>
      <c r="E8" s="35" t="inlineStr">
        <is>
          <t>Diesel</t>
        </is>
      </c>
      <c r="F8" s="19" t="inlineStr">
        <is>
          <t>Sí</t>
        </is>
      </c>
    </row>
    <row r="9">
      <c r="A9" s="19" t="n">
        <v>5</v>
      </c>
      <c r="B9" s="35" t="inlineStr">
        <is>
          <t>Vehículo 5</t>
        </is>
      </c>
      <c r="C9" s="35" t="inlineStr">
        <is>
          <t>XXX-XXX</t>
        </is>
      </c>
      <c r="D9" s="35" t="inlineStr">
        <is>
          <t>Tractor/Camioneta</t>
        </is>
      </c>
      <c r="E9" s="35" t="inlineStr">
        <is>
          <t>Diesel</t>
        </is>
      </c>
      <c r="F9" s="19" t="inlineStr">
        <is>
          <t>Sí</t>
        </is>
      </c>
    </row>
    <row r="10">
      <c r="A10" s="19" t="n">
        <v>6</v>
      </c>
      <c r="B10" s="35" t="inlineStr">
        <is>
          <t>Vehículo 6</t>
        </is>
      </c>
      <c r="C10" s="35" t="inlineStr">
        <is>
          <t>XXX-XXX</t>
        </is>
      </c>
      <c r="D10" s="35" t="inlineStr">
        <is>
          <t>Tractor/Camioneta</t>
        </is>
      </c>
      <c r="E10" s="35" t="inlineStr">
        <is>
          <t>Diesel</t>
        </is>
      </c>
      <c r="F10" s="19" t="inlineStr">
        <is>
          <t>Sí</t>
        </is>
      </c>
    </row>
    <row r="11">
      <c r="A11" s="19" t="n">
        <v>7</v>
      </c>
      <c r="B11" s="35" t="inlineStr">
        <is>
          <t>Vehículo 7</t>
        </is>
      </c>
      <c r="C11" s="35" t="inlineStr">
        <is>
          <t>XXX-XXX</t>
        </is>
      </c>
      <c r="D11" s="35" t="inlineStr">
        <is>
          <t>Tractor/Camioneta</t>
        </is>
      </c>
      <c r="E11" s="35" t="inlineStr">
        <is>
          <t>Diesel</t>
        </is>
      </c>
      <c r="F11" s="19" t="inlineStr">
        <is>
          <t>Sí</t>
        </is>
      </c>
    </row>
    <row r="12">
      <c r="A12" s="19" t="n">
        <v>8</v>
      </c>
      <c r="B12" s="35" t="inlineStr">
        <is>
          <t>Vehículo 8</t>
        </is>
      </c>
      <c r="C12" s="35" t="inlineStr">
        <is>
          <t>XXX-XXX</t>
        </is>
      </c>
      <c r="D12" s="35" t="inlineStr">
        <is>
          <t>Tractor/Camioneta</t>
        </is>
      </c>
      <c r="E12" s="35" t="inlineStr">
        <is>
          <t>Diesel</t>
        </is>
      </c>
      <c r="F12" s="19" t="inlineStr">
        <is>
          <t>Sí</t>
        </is>
      </c>
    </row>
    <row r="13">
      <c r="A13" s="19" t="n">
        <v>9</v>
      </c>
      <c r="B13" s="35" t="inlineStr">
        <is>
          <t>Vehículo 9</t>
        </is>
      </c>
      <c r="C13" s="35" t="inlineStr">
        <is>
          <t>XXX-XXX</t>
        </is>
      </c>
      <c r="D13" s="35" t="inlineStr">
        <is>
          <t>Tractor/Camioneta</t>
        </is>
      </c>
      <c r="E13" s="35" t="inlineStr">
        <is>
          <t>Diesel</t>
        </is>
      </c>
      <c r="F13" s="19" t="inlineStr">
        <is>
          <t>Sí</t>
        </is>
      </c>
    </row>
    <row r="14">
      <c r="A14" s="19" t="n">
        <v>10</v>
      </c>
      <c r="B14" s="35" t="inlineStr">
        <is>
          <t>Vehículo 10</t>
        </is>
      </c>
      <c r="C14" s="35" t="inlineStr">
        <is>
          <t>XXX-XXX</t>
        </is>
      </c>
      <c r="D14" s="35" t="inlineStr">
        <is>
          <t>Tractor/Camioneta</t>
        </is>
      </c>
      <c r="E14" s="35" t="inlineStr">
        <is>
          <t>Diesel</t>
        </is>
      </c>
      <c r="F14" s="19" t="inlineStr">
        <is>
          <t>Sí</t>
        </is>
      </c>
    </row>
    <row r="17">
      <c r="A17" s="42" t="inlineStr">
        <is>
          <t>GRÚAS EN LEASING (Límite 160 KM/mes — sin consumo de combustible)</t>
        </is>
      </c>
    </row>
    <row r="18">
      <c r="A18" s="12" t="inlineStr">
        <is>
          <t>N°</t>
        </is>
      </c>
      <c r="B18" s="12" t="inlineStr">
        <is>
          <t>NOMBRE/ID GRÚA</t>
        </is>
      </c>
      <c r="C18" s="12" t="inlineStr">
        <is>
          <t>PATENTE</t>
        </is>
      </c>
      <c r="D18" s="12" t="inlineStr">
        <is>
          <t>EMPRESA LEASING</t>
        </is>
      </c>
      <c r="E18" s="12" t="inlineStr">
        <is>
          <t>LÍMITE KM/MES</t>
        </is>
      </c>
      <c r="F18" s="12" t="inlineStr">
        <is>
          <t>ACTIVA</t>
        </is>
      </c>
    </row>
    <row r="19">
      <c r="A19" s="19" t="n">
        <v>1</v>
      </c>
      <c r="B19" s="43" t="inlineStr">
        <is>
          <t>GRÚA 1</t>
        </is>
      </c>
      <c r="C19" s="35" t="inlineStr">
        <is>
          <t>AB-1234</t>
        </is>
      </c>
      <c r="D19" s="35" t="inlineStr">
        <is>
          <t>LeasePlan Chile</t>
        </is>
      </c>
      <c r="E19" s="44" t="n">
        <v>160</v>
      </c>
      <c r="F19" s="19" t="inlineStr">
        <is>
          <t>Sí</t>
        </is>
      </c>
    </row>
    <row r="20">
      <c r="A20" s="19" t="n">
        <v>2</v>
      </c>
      <c r="B20" s="43" t="inlineStr">
        <is>
          <t>GRÚA 2</t>
        </is>
      </c>
      <c r="C20" s="35" t="inlineStr">
        <is>
          <t>CD-5678</t>
        </is>
      </c>
      <c r="D20" s="35" t="inlineStr">
        <is>
          <t>LeasePlan Chile</t>
        </is>
      </c>
      <c r="E20" s="44" t="n">
        <v>160</v>
      </c>
      <c r="F20" s="19" t="inlineStr">
        <is>
          <t>Sí</t>
        </is>
      </c>
    </row>
    <row r="21">
      <c r="A21" s="19" t="n">
        <v>3</v>
      </c>
      <c r="B21" s="43" t="inlineStr">
        <is>
          <t>GRÚA 3</t>
        </is>
      </c>
      <c r="C21" s="35" t="inlineStr">
        <is>
          <t>EF-9012</t>
        </is>
      </c>
      <c r="D21" s="35" t="inlineStr">
        <is>
          <t>ALD Automotive</t>
        </is>
      </c>
      <c r="E21" s="44" t="n">
        <v>160</v>
      </c>
      <c r="F21" s="19" t="inlineStr">
        <is>
          <t>Sí</t>
        </is>
      </c>
    </row>
    <row r="22">
      <c r="A22" s="19" t="n">
        <v>4</v>
      </c>
      <c r="B22" s="43" t="inlineStr">
        <is>
          <t>GRÚA 4</t>
        </is>
      </c>
      <c r="C22" s="35" t="inlineStr">
        <is>
          <t>GH-3456</t>
        </is>
      </c>
      <c r="D22" s="35" t="inlineStr">
        <is>
          <t>LeasePlan Chile</t>
        </is>
      </c>
      <c r="E22" s="44" t="n">
        <v>160</v>
      </c>
      <c r="F22" s="19" t="inlineStr">
        <is>
          <t>Sí</t>
        </is>
      </c>
    </row>
    <row r="23">
      <c r="A23" s="19" t="n">
        <v>5</v>
      </c>
      <c r="B23" s="43" t="inlineStr">
        <is>
          <t>GRÚA 5</t>
        </is>
      </c>
      <c r="C23" s="35" t="inlineStr">
        <is>
          <t>IJ-7890</t>
        </is>
      </c>
      <c r="D23" s="35" t="inlineStr">
        <is>
          <t>ALD Automotive</t>
        </is>
      </c>
      <c r="E23" s="44" t="n">
        <v>160</v>
      </c>
      <c r="F23" s="19" t="inlineStr">
        <is>
          <t>Sí</t>
        </is>
      </c>
    </row>
    <row r="24">
      <c r="A24" s="19" t="n">
        <v>6</v>
      </c>
      <c r="B24" s="43" t="inlineStr">
        <is>
          <t>GRÚA 6</t>
        </is>
      </c>
      <c r="C24" s="35" t="inlineStr">
        <is>
          <t>KL-1234</t>
        </is>
      </c>
      <c r="D24" s="35" t="inlineStr">
        <is>
          <t>LeasePlan Chile</t>
        </is>
      </c>
      <c r="E24" s="44" t="n">
        <v>160</v>
      </c>
      <c r="F24" s="19" t="inlineStr">
        <is>
          <t>Sí</t>
        </is>
      </c>
    </row>
    <row r="25">
      <c r="A25" s="19" t="n">
        <v>7</v>
      </c>
      <c r="B25" s="43" t="inlineStr">
        <is>
          <t>GRÚA 7</t>
        </is>
      </c>
      <c r="C25" s="35" t="inlineStr">
        <is>
          <t>MN-5678</t>
        </is>
      </c>
      <c r="D25" s="35" t="inlineStr">
        <is>
          <t>ALD Automotive</t>
        </is>
      </c>
      <c r="E25" s="44" t="n">
        <v>160</v>
      </c>
      <c r="F25" s="19" t="inlineStr">
        <is>
          <t>Sí</t>
        </is>
      </c>
    </row>
    <row r="26">
      <c r="A26" s="19" t="n">
        <v>8</v>
      </c>
      <c r="B26" s="43" t="inlineStr">
        <is>
          <t>GRÚA 8</t>
        </is>
      </c>
      <c r="C26" s="35" t="inlineStr">
        <is>
          <t>OP-9012</t>
        </is>
      </c>
      <c r="D26" s="35" t="inlineStr">
        <is>
          <t>LeasePlan Chile</t>
        </is>
      </c>
      <c r="E26" s="44" t="n">
        <v>160</v>
      </c>
      <c r="F26" s="19" t="inlineStr">
        <is>
          <t>Sí</t>
        </is>
      </c>
    </row>
    <row r="27">
      <c r="A27" s="19" t="n">
        <v>9</v>
      </c>
      <c r="B27" s="43" t="inlineStr">
        <is>
          <t>GRÚA 9</t>
        </is>
      </c>
      <c r="C27" s="35" t="inlineStr">
        <is>
          <t>QR-3456</t>
        </is>
      </c>
      <c r="D27" s="35" t="inlineStr">
        <is>
          <t>ALD Automotive</t>
        </is>
      </c>
      <c r="E27" s="44" t="n">
        <v>160</v>
      </c>
      <c r="F27" s="19" t="inlineStr">
        <is>
          <t>Sí</t>
        </is>
      </c>
    </row>
    <row r="28">
      <c r="A28" s="19" t="n">
        <v>10</v>
      </c>
      <c r="B28" s="43" t="inlineStr">
        <is>
          <t>GRÚA 10</t>
        </is>
      </c>
      <c r="C28" s="35" t="inlineStr">
        <is>
          <t>ST-7890</t>
        </is>
      </c>
      <c r="D28" s="35" t="inlineStr">
        <is>
          <t>LeasePlan Chile</t>
        </is>
      </c>
      <c r="E28" s="44" t="n">
        <v>160</v>
      </c>
      <c r="F28" s="19" t="inlineStr">
        <is>
          <t>Sí</t>
        </is>
      </c>
    </row>
    <row r="29">
      <c r="A29" s="19" t="n">
        <v>11</v>
      </c>
      <c r="B29" s="43" t="inlineStr">
        <is>
          <t>GRÚA 11</t>
        </is>
      </c>
      <c r="C29" s="35" t="inlineStr">
        <is>
          <t>UV-1234</t>
        </is>
      </c>
      <c r="D29" s="35" t="inlineStr">
        <is>
          <t>ALD Automotive</t>
        </is>
      </c>
      <c r="E29" s="44" t="n">
        <v>160</v>
      </c>
      <c r="F29" s="19" t="inlineStr">
        <is>
          <t>Sí</t>
        </is>
      </c>
    </row>
    <row r="30">
      <c r="A30" s="19" t="n">
        <v>12</v>
      </c>
      <c r="B30" s="43" t="inlineStr">
        <is>
          <t>GRÚA 12</t>
        </is>
      </c>
      <c r="C30" s="35" t="inlineStr">
        <is>
          <t>WX-5678</t>
        </is>
      </c>
      <c r="D30" s="35" t="inlineStr">
        <is>
          <t>LeasePlan Chile</t>
        </is>
      </c>
      <c r="E30" s="44" t="n">
        <v>160</v>
      </c>
      <c r="F30" s="19" t="inlineStr">
        <is>
          <t>Sí</t>
        </is>
      </c>
    </row>
  </sheetData>
  <mergeCells count="3">
    <mergeCell ref="A3:F3"/>
    <mergeCell ref="A1:F1"/>
    <mergeCell ref="A17:F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20" customWidth="1" min="4" max="4"/>
    <col width="12" customWidth="1" min="5" max="5"/>
  </cols>
  <sheetData>
    <row r="1" ht="30" customHeight="1">
      <c r="A1" s="52" t="inlineStr">
        <is>
          <t>AEROSAN — KM RECORRIDOS MES ACTUAL (Marzo 2026)</t>
        </is>
      </c>
    </row>
    <row r="2">
      <c r="A2" s="53" t="inlineStr">
        <is>
          <t>↓ Actualiza la columna KM_MES con los km recorridos de cada grúa en el mes actual</t>
        </is>
      </c>
    </row>
    <row r="4" ht="22" customHeight="1">
      <c r="A4" s="54" t="inlineStr">
        <is>
          <t>N°</t>
        </is>
      </c>
      <c r="B4" s="54" t="inlineStr">
        <is>
          <t>GRÚA</t>
        </is>
      </c>
      <c r="C4" s="54" t="inlineStr">
        <is>
          <t>PATENTE</t>
        </is>
      </c>
      <c r="D4" s="54" t="inlineStr">
        <is>
          <t>EMPRESA LEASING</t>
        </is>
      </c>
      <c r="E4" s="54" t="inlineStr">
        <is>
          <t>KM_MES</t>
        </is>
      </c>
    </row>
    <row r="5" ht="20" customHeight="1">
      <c r="A5" s="55" t="n">
        <v>1</v>
      </c>
      <c r="B5" s="55" t="inlineStr">
        <is>
          <t>GRÚA 1</t>
        </is>
      </c>
      <c r="C5" s="55" t="inlineStr">
        <is>
          <t>AB-1234</t>
        </is>
      </c>
      <c r="D5" s="55" t="inlineStr">
        <is>
          <t>LeasePlan Chile</t>
        </is>
      </c>
      <c r="E5" s="56" t="n">
        <v>42</v>
      </c>
    </row>
    <row r="6" ht="20" customHeight="1">
      <c r="A6" s="55" t="n">
        <v>2</v>
      </c>
      <c r="B6" s="55" t="inlineStr">
        <is>
          <t>GRÚA 2</t>
        </is>
      </c>
      <c r="C6" s="55" t="inlineStr">
        <is>
          <t>CD-5678</t>
        </is>
      </c>
      <c r="D6" s="55" t="inlineStr">
        <is>
          <t>LeasePlan Chile</t>
        </is>
      </c>
      <c r="E6" s="57" t="n">
        <v>98</v>
      </c>
    </row>
    <row r="7" ht="20" customHeight="1">
      <c r="A7" s="55" t="n">
        <v>3</v>
      </c>
      <c r="B7" s="55" t="inlineStr">
        <is>
          <t>GRÚA 3</t>
        </is>
      </c>
      <c r="C7" s="55" t="inlineStr">
        <is>
          <t>EF-9012</t>
        </is>
      </c>
      <c r="D7" s="55" t="inlineStr">
        <is>
          <t>ALD Automotive</t>
        </is>
      </c>
      <c r="E7" s="58" t="n">
        <v>162</v>
      </c>
    </row>
    <row r="8" ht="20" customHeight="1">
      <c r="A8" s="55" t="n">
        <v>4</v>
      </c>
      <c r="B8" s="55" t="inlineStr">
        <is>
          <t>GRÚA 4</t>
        </is>
      </c>
      <c r="C8" s="55" t="inlineStr">
        <is>
          <t>GH-3456</t>
        </is>
      </c>
      <c r="D8" s="55" t="inlineStr">
        <is>
          <t>LeasePlan Chile</t>
        </is>
      </c>
      <c r="E8" s="56" t="n">
        <v>55</v>
      </c>
    </row>
    <row r="9" ht="20" customHeight="1">
      <c r="A9" s="55" t="n">
        <v>5</v>
      </c>
      <c r="B9" s="55" t="inlineStr">
        <is>
          <t>GRÚA 5</t>
        </is>
      </c>
      <c r="C9" s="55" t="inlineStr">
        <is>
          <t>IJ-7890</t>
        </is>
      </c>
      <c r="D9" s="55" t="inlineStr">
        <is>
          <t>ALD Automotive</t>
        </is>
      </c>
      <c r="E9" s="57" t="n">
        <v>137</v>
      </c>
    </row>
    <row r="10" ht="20" customHeight="1">
      <c r="A10" s="55" t="n">
        <v>6</v>
      </c>
      <c r="B10" s="55" t="inlineStr">
        <is>
          <t>GRÚA 6</t>
        </is>
      </c>
      <c r="C10" s="55" t="inlineStr">
        <is>
          <t>KL-1234</t>
        </is>
      </c>
      <c r="D10" s="55" t="inlineStr">
        <is>
          <t>LeasePlan Chile</t>
        </is>
      </c>
      <c r="E10" s="56" t="n">
        <v>31</v>
      </c>
    </row>
    <row r="11" ht="20" customHeight="1">
      <c r="A11" s="55" t="n">
        <v>7</v>
      </c>
      <c r="B11" s="55" t="inlineStr">
        <is>
          <t>GRÚA 7</t>
        </is>
      </c>
      <c r="C11" s="55" t="inlineStr">
        <is>
          <t>MN-5678</t>
        </is>
      </c>
      <c r="D11" s="55" t="inlineStr">
        <is>
          <t>ALD Automotive</t>
        </is>
      </c>
      <c r="E11" s="57" t="n">
        <v>112</v>
      </c>
    </row>
    <row r="12" ht="20" customHeight="1">
      <c r="A12" s="55" t="n">
        <v>8</v>
      </c>
      <c r="B12" s="55" t="inlineStr">
        <is>
          <t>GRÚA 8</t>
        </is>
      </c>
      <c r="C12" s="55" t="inlineStr">
        <is>
          <t>OP-9012</t>
        </is>
      </c>
      <c r="D12" s="55" t="inlineStr">
        <is>
          <t>LeasePlan Chile</t>
        </is>
      </c>
      <c r="E12" s="58" t="n">
        <v>165</v>
      </c>
    </row>
    <row r="13" ht="20" customHeight="1">
      <c r="A13" s="55" t="n">
        <v>9</v>
      </c>
      <c r="B13" s="55" t="inlineStr">
        <is>
          <t>GRÚA 9</t>
        </is>
      </c>
      <c r="C13" s="55" t="inlineStr">
        <is>
          <t>QR-3456</t>
        </is>
      </c>
      <c r="D13" s="55" t="inlineStr">
        <is>
          <t>ALD Automotive</t>
        </is>
      </c>
      <c r="E13" s="56" t="n">
        <v>78</v>
      </c>
    </row>
    <row r="14" ht="20" customHeight="1">
      <c r="A14" s="55" t="n">
        <v>10</v>
      </c>
      <c r="B14" s="55" t="inlineStr">
        <is>
          <t>GRÚA 10</t>
        </is>
      </c>
      <c r="C14" s="55" t="inlineStr">
        <is>
          <t>ST-7890</t>
        </is>
      </c>
      <c r="D14" s="55" t="inlineStr">
        <is>
          <t>LeasePlan Chile</t>
        </is>
      </c>
      <c r="E14" s="56" t="n">
        <v>22</v>
      </c>
    </row>
    <row r="15" ht="20" customHeight="1">
      <c r="A15" s="55" t="n">
        <v>11</v>
      </c>
      <c r="B15" s="55" t="inlineStr">
        <is>
          <t>GRÚA 11</t>
        </is>
      </c>
      <c r="C15" s="55" t="inlineStr">
        <is>
          <t>UV-1234</t>
        </is>
      </c>
      <c r="D15" s="55" t="inlineStr">
        <is>
          <t>ALD Automotive</t>
        </is>
      </c>
      <c r="E15" s="56" t="n">
        <v>0</v>
      </c>
    </row>
    <row r="16" ht="20" customHeight="1">
      <c r="A16" s="55" t="n">
        <v>12</v>
      </c>
      <c r="B16" s="55" t="inlineStr">
        <is>
          <t>GRÚA 12</t>
        </is>
      </c>
      <c r="C16" s="55" t="inlineStr">
        <is>
          <t>WX-5678</t>
        </is>
      </c>
      <c r="D16" s="55" t="inlineStr">
        <is>
          <t>LeasePlan Chile</t>
        </is>
      </c>
      <c r="E16" s="56" t="n">
        <v>0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2026-03-21T16:37:29Z</dcterms:created>
  <dcterms:modified xmlns:dcterms="http://purl.org/dc/terms/" xmlns:xsi="http://www.w3.org/2001/XMLSchema-instance" xsi:type="dcterms:W3CDTF">2026-03-21T17:54:11Z</dcterms:modified>
</cp:coreProperties>
</file>